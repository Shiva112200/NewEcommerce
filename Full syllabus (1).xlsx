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cognizantonline-my.sharepoint.com/personal/2496913_cognizant_com/Documents/Desktop/"/>
    </mc:Choice>
  </mc:AlternateContent>
  <xr:revisionPtr revIDLastSave="0" documentId="8_{B0F1009B-D174-42AB-B1F2-35966FDEE8BF}" xr6:coauthVersionLast="47" xr6:coauthVersionMax="47" xr10:uidLastSave="{00000000-0000-0000-0000-000000000000}"/>
  <bookViews>
    <workbookView xWindow="-110" yWindow="-110" windowWidth="19420" windowHeight="11500" tabRatio="824" firstSheet="3" activeTab="3" xr2:uid="{8F8B205F-6132-44BF-8C33-4E93373C908E}"/>
  </bookViews>
  <sheets>
    <sheet name="About the Curriculum" sheetId="1" r:id="rId1"/>
    <sheet name="Performance_Outcomes" sheetId="3" r:id="rId2"/>
    <sheet name="Module List" sheetId="2" r:id="rId3"/>
    <sheet name="Stage 1 - Technical Scope" sheetId="4" r:id="rId4"/>
    <sheet name="Stage 2 - Technical Scope" sheetId="5" r:id="rId5"/>
    <sheet name="Python-Scope" sheetId="8" r:id="rId6"/>
    <sheet name="Inspire Learning" sheetId="10" r:id="rId7"/>
    <sheet name="Gen AI" sheetId="12" r:id="rId8"/>
    <sheet name="Github Copilot - Coverage" sheetId="13" r:id="rId9"/>
    <sheet name="Intelligent Document Capture" sheetId="11" state="hidden" r:id="rId10"/>
    <sheet name="Softwares_LP_Details" sheetId="7" r:id="rId11"/>
    <sheet name="Softwares" sheetId="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_____cps2" localSheetId="1">'[1]Working Sheet'!$CQ$7:$CQ$9</definedName>
    <definedName name="________cps2" localSheetId="3">'[1]Working Sheet'!$CQ$7:$CQ$9</definedName>
    <definedName name="________cps2" localSheetId="4">'[1]Working Sheet'!$CQ$7:$CQ$9</definedName>
    <definedName name="________cps2">'[1]Working Sheet'!$CQ$7:$CQ$9</definedName>
    <definedName name="________cps3" localSheetId="1">'[1]Working Sheet'!$CQ$7:$CQ$9</definedName>
    <definedName name="________cps3" localSheetId="3">'[1]Working Sheet'!$CQ$7:$CQ$9</definedName>
    <definedName name="________cps3" localSheetId="4">'[1]Working Sheet'!$CQ$7:$CQ$9</definedName>
    <definedName name="________cps3">'[1]Working Sheet'!$CQ$7:$CQ$9</definedName>
    <definedName name="_______cps2" localSheetId="1">'[1]Working Sheet'!$CQ$7:$CQ$9</definedName>
    <definedName name="_______cps2" localSheetId="3">'[1]Working Sheet'!$CQ$7:$CQ$9</definedName>
    <definedName name="_______cps2" localSheetId="4">'[1]Working Sheet'!$CQ$7:$CQ$9</definedName>
    <definedName name="_______cps2">'[1]Working Sheet'!$CQ$7:$CQ$9</definedName>
    <definedName name="_______cps3" localSheetId="1">'[1]Working Sheet'!$CQ$7:$CQ$9</definedName>
    <definedName name="_______cps3" localSheetId="3">'[1]Working Sheet'!$CQ$7:$CQ$9</definedName>
    <definedName name="_______cps3" localSheetId="4">'[1]Working Sheet'!$CQ$7:$CQ$9</definedName>
    <definedName name="_______cps3">'[1]Working Sheet'!$CQ$7:$CQ$9</definedName>
    <definedName name="______cps2" localSheetId="1">'[1]Working Sheet'!$CQ$7:$CQ$9</definedName>
    <definedName name="______cps2" localSheetId="3">'[1]Working Sheet'!$CQ$7:$CQ$9</definedName>
    <definedName name="______cps2" localSheetId="4">'[1]Working Sheet'!$CQ$7:$CQ$9</definedName>
    <definedName name="______cps2">'[1]Working Sheet'!$CQ$7:$CQ$9</definedName>
    <definedName name="______cps3" localSheetId="1">'[1]Working Sheet'!$CQ$7:$CQ$9</definedName>
    <definedName name="______cps3" localSheetId="3">'[1]Working Sheet'!$CQ$7:$CQ$9</definedName>
    <definedName name="______cps3" localSheetId="4">'[1]Working Sheet'!$CQ$7:$CQ$9</definedName>
    <definedName name="______cps3">'[1]Working Sheet'!$CQ$7:$CQ$9</definedName>
    <definedName name="_____cps2" localSheetId="1">'[1]Working Sheet'!$CQ$7:$CQ$9</definedName>
    <definedName name="_____cps2" localSheetId="3">'[1]Working Sheet'!$CQ$7:$CQ$9</definedName>
    <definedName name="_____cps2" localSheetId="4">'[1]Working Sheet'!$CQ$7:$CQ$9</definedName>
    <definedName name="_____cps2">'[1]Working Sheet'!$CQ$7:$CQ$9</definedName>
    <definedName name="_____cps3" localSheetId="1">'[1]Working Sheet'!$CQ$7:$CQ$9</definedName>
    <definedName name="_____cps3" localSheetId="3">'[1]Working Sheet'!$CQ$7:$CQ$9</definedName>
    <definedName name="_____cps3" localSheetId="4">'[1]Working Sheet'!$CQ$7:$CQ$9</definedName>
    <definedName name="_____cps3">'[1]Working Sheet'!$CQ$7:$CQ$9</definedName>
    <definedName name="____cps2" localSheetId="1">'[1]Working Sheet'!$CQ$7:$CQ$9</definedName>
    <definedName name="____cps2" localSheetId="3">'[1]Working Sheet'!$CQ$7:$CQ$9</definedName>
    <definedName name="____cps2" localSheetId="4">'[1]Working Sheet'!$CQ$7:$CQ$9</definedName>
    <definedName name="____cps2">'[1]Working Sheet'!$CQ$7:$CQ$9</definedName>
    <definedName name="____cps3" localSheetId="1">'[1]Working Sheet'!$CQ$7:$CQ$9</definedName>
    <definedName name="____cps3" localSheetId="3">'[1]Working Sheet'!$CQ$7:$CQ$9</definedName>
    <definedName name="____cps3" localSheetId="4">'[1]Working Sheet'!$CQ$7:$CQ$9</definedName>
    <definedName name="____cps3">'[1]Working Sheet'!$CQ$7:$CQ$9</definedName>
    <definedName name="___cps2" localSheetId="1">'[1]Working Sheet'!$CQ$7:$CQ$9</definedName>
    <definedName name="___cps2" localSheetId="3">'[1]Working Sheet'!$CQ$7:$CQ$9</definedName>
    <definedName name="___cps2" localSheetId="4">'[1]Working Sheet'!$CQ$7:$CQ$9</definedName>
    <definedName name="___cps2">'[1]Working Sheet'!$CQ$7:$CQ$9</definedName>
    <definedName name="___cps3" localSheetId="1">'[1]Working Sheet'!$CQ$7:$CQ$9</definedName>
    <definedName name="___cps3" localSheetId="3">'[1]Working Sheet'!$CQ$7:$CQ$9</definedName>
    <definedName name="___cps3" localSheetId="4">'[1]Working Sheet'!$CQ$7:$CQ$9</definedName>
    <definedName name="___cps3">'[1]Working Sheet'!$CQ$7:$CQ$9</definedName>
    <definedName name="__cps2" localSheetId="1">'[1]Working Sheet'!$CQ$7:$CQ$9</definedName>
    <definedName name="__cps2" localSheetId="3">'[1]Working Sheet'!$CQ$7:$CQ$9</definedName>
    <definedName name="__cps2" localSheetId="4">'[1]Working Sheet'!$CQ$7:$CQ$9</definedName>
    <definedName name="__cps2">'[1]Working Sheet'!$CQ$7:$CQ$9</definedName>
    <definedName name="__cps3" localSheetId="1">'[1]Working Sheet'!$CQ$7:$CQ$9</definedName>
    <definedName name="__cps3" localSheetId="3">'[1]Working Sheet'!$CQ$7:$CQ$9</definedName>
    <definedName name="__cps3" localSheetId="4">'[1]Working Sheet'!$CQ$7:$CQ$9</definedName>
    <definedName name="__cps3">'[1]Working Sheet'!$CQ$7:$CQ$9</definedName>
    <definedName name="_cps1" localSheetId="1">'[2]Working Sheet'!$CQ$7:$CQ$9</definedName>
    <definedName name="_cps1" localSheetId="3">'[2]Working Sheet'!$CQ$7:$CQ$9</definedName>
    <definedName name="_cps1" localSheetId="4">'[2]Working Sheet'!$CQ$7:$CQ$9</definedName>
    <definedName name="_cps1">'[2]Working Sheet'!$CQ$7:$CQ$9</definedName>
    <definedName name="_cps2" localSheetId="1">'[1]Working Sheet'!$CQ$7:$CQ$9</definedName>
    <definedName name="_cps2" localSheetId="3">'[1]Working Sheet'!$CQ$7:$CQ$9</definedName>
    <definedName name="_cps2" localSheetId="4">'[1]Working Sheet'!$CQ$7:$CQ$9</definedName>
    <definedName name="_cps2">'[1]Working Sheet'!$CQ$7:$CQ$9</definedName>
    <definedName name="_cps3" localSheetId="1">'[1]Working Sheet'!$CQ$7:$CQ$9</definedName>
    <definedName name="_cps3" localSheetId="3">'[1]Working Sheet'!$CQ$7:$CQ$9</definedName>
    <definedName name="_cps3" localSheetId="4">'[1]Working Sheet'!$CQ$7:$CQ$9</definedName>
    <definedName name="_cps3">'[1]Working Sheet'!$CQ$7:$CQ$9</definedName>
    <definedName name="abc" localSheetId="1">#REF!</definedName>
    <definedName name="abc" localSheetId="3">#REF!</definedName>
    <definedName name="abc" localSheetId="4">#REF!</definedName>
    <definedName name="abc">#REF!</definedName>
    <definedName name="csharp" localSheetId="1">'[3]Learning Assets'!$B$4:$B$48</definedName>
    <definedName name="csharp" localSheetId="3">'[3]Learning Assets'!$B$4:$B$48</definedName>
    <definedName name="csharp" localSheetId="4">'[3]Learning Assets'!$B$4:$B$48</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jjj">#REF!</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1">#REF!</definedName>
    <definedName name="PL" localSheetId="3">#REF!</definedName>
    <definedName name="PL" localSheetId="4">#REF!</definedName>
    <definedName name="PL">#REF!</definedName>
    <definedName name="ProfLevel">'[7]Proficiency Level Desc'!$A$2:$A$6</definedName>
    <definedName name="Skill" localSheetId="1">[9]Skill!$N$7:$N$9</definedName>
    <definedName name="Skill" localSheetId="3">[9]Skill!$N$7:$N$9</definedName>
    <definedName name="Skill" localSheetId="4">[9]Skill!$N$7:$N$9</definedName>
    <definedName name="Skill">[9]Skill!$N$7:$N$9</definedName>
    <definedName name="SkillCategory" localSheetId="1">'[10]Read Me'!$N$1:$N$4</definedName>
    <definedName name="SkillCategory" localSheetId="3">'[10]Read Me'!$N$1:$N$4</definedName>
    <definedName name="SkillCategory" localSheetId="4">'[10]Read Me'!$N$1:$N$4</definedName>
    <definedName name="SkillCategory">'[10]Read Me'!$N$1:$N$4</definedName>
    <definedName name="tttt">'[11]Learning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 i="2" l="1"/>
  <c r="I20" i="2"/>
  <c r="J20" i="2" s="1"/>
  <c r="I50" i="2" l="1"/>
  <c r="I53" i="2"/>
  <c r="I52" i="2"/>
  <c r="I51" i="2"/>
  <c r="I2" i="2"/>
  <c r="J49" i="2" l="1"/>
  <c r="J54" i="2"/>
  <c r="I14" i="11"/>
  <c r="I6" i="11"/>
  <c r="I2" i="11"/>
  <c r="I25" i="10"/>
  <c r="I21" i="10"/>
  <c r="I16" i="10"/>
  <c r="I5" i="10"/>
  <c r="I2" i="10"/>
  <c r="I48" i="2" l="1"/>
  <c r="J48" i="2" s="1"/>
  <c r="I55" i="2" l="1"/>
  <c r="J2" i="2"/>
  <c r="J55" i="2" s="1"/>
</calcChain>
</file>

<file path=xl/sharedStrings.xml><?xml version="1.0" encoding="utf-8"?>
<sst xmlns="http://schemas.openxmlformats.org/spreadsheetml/2006/main" count="633" uniqueCount="426">
  <si>
    <t>DX - ICP Java Curriculum</t>
  </si>
  <si>
    <t>1. Name of the track</t>
  </si>
  <si>
    <t>ICP (Java)</t>
  </si>
  <si>
    <t xml:space="preserve">2. Category (Technical/Domain/Behavioral): </t>
  </si>
  <si>
    <t>Technical and Behavioral</t>
  </si>
  <si>
    <t xml:space="preserve">3.  Outcome Expected </t>
  </si>
  <si>
    <t>Delivery Readiness according to Performance Outcomes detailed in this file (Refer "Performance Outcomes" sheet)</t>
  </si>
  <si>
    <t>4.  Measureable units of the outcome</t>
  </si>
  <si>
    <t>Metrics as defined in "Performance Outcomes" sheet</t>
  </si>
  <si>
    <t xml:space="preserve">5. Who is the target audience? </t>
  </si>
  <si>
    <t>Interns/CSD</t>
  </si>
  <si>
    <t>Stage</t>
  </si>
  <si>
    <t>Key Performance Outcomes</t>
  </si>
  <si>
    <t xml:space="preserve">Should be able to develop simple user interfaces of a web application
Should be able to apply HTML5 Elements and Attributes, Navigation, Events, Geo Location in a web application
Should be able to interpret the functional requirements and low level design and develop simple level coding components
Should be able to fix simple issues/defects in web UI layer with minimum support
Should be able to develop a simple component or module using Java language, following a component design specification
Should be able to demonstrate the Object Orientated Programming Concepts, Packages, Interfaces, Abstract Classes, Inner Classes
Should be able to analyze and implement the Exception Handling, Strings, I/O, Collections and Generics, Standard Libraries (java.lang, java.util)
Should be able to use Multithreading for a simple scenario
Should be able to use JDBC to access DB and perform basic operation
Should be able to apply Java 8 features Lambda Expressions
Should be able to use the Java 8 feature, Method references in the programming
Should be able to use the concepts of Functional Interfaces, Default methods
Should be able to apply Streaming API in programming concepts
Should be able to use Optional class in programming concepts
Should be able to explain the concepts of Parallel sort in programming
Should be able to use the Java 8 feature, Date/Time API in the programming
Should be able to interpret the entities and relationships and create simple tables in database
Should be able to describe relationships between tables and write simple queries to retrieve data from the database
Should be able to perform CRUD operations using various types of statements, joins, subqueries
</t>
  </si>
  <si>
    <t>"Should be able to continuously build a simple application using Maven.
Should be able to apply Dependency Injection in a scenario using Spring Core.
Should be able to use Property Files
Should be able to use Spring JDBC and Transactions for a simple scenario.
Should be able to describe Spring AOP.
Should be able to write simple  unit test cases  for a Java Module
Should be able to implement resolvers
Should be able to implement unit testing using Junit Framework
Should be able to Initialize a Spring Boot Project and work with an existing project.
Should be able to design and program Python 3 applications.
Should be able to demonstrate the Object Orientated Programming Concepts using Python 3.
Should be able to use exception handling in Python applications for error handling.
Should be able to use simple MVC components for coding the presentation layer of a module using Spring MVC.
Should be able to use the popular MongooseJS library to interface with Mongo.
Should be able to use advanced features of Mongoose to save development time.
Should be able to convert a simple monolithic app to a Microservice
Should be able to use centralized Microservices Configuration with Spring Cloud.
Should be able to explain on how to containerize a web app using Docker.
Should be able to apply the basics of Scala's type inference and implement it.
Should be able to apply Scala idioms to model business domains and implement business logic.
Should be able to describe different layers of a web server and how web applications interact with each other
Should be able to create secure and reliable REST APIs which include authentication, deployments, and database migrations.
Should be able to explain graph database concepts.
Should be able to create, update, and delete graph data via the Neo4j Browser.
"</t>
  </si>
  <si>
    <t>Agile and 
DevOps</t>
  </si>
  <si>
    <t>Should be able to apply agile concepts and process
Should be able to describe DevOps and AWS fundamentals</t>
  </si>
  <si>
    <t>Insprite Training /Intelligent Document Capture Training</t>
  </si>
  <si>
    <t>Should be able to complete the assessment with minmum score of 70%</t>
  </si>
  <si>
    <t>Course Segment</t>
  </si>
  <si>
    <t>Course/Module</t>
  </si>
  <si>
    <t>Delivery Method</t>
  </si>
  <si>
    <t xml:space="preserve">Baseline Duration
 ( Hours ) </t>
  </si>
  <si>
    <t>Enablement Assured Level</t>
  </si>
  <si>
    <t>Assessment Assured Level</t>
  </si>
  <si>
    <t>Week Wise Project Execution</t>
  </si>
  <si>
    <t>Stage wise -Total Duration</t>
  </si>
  <si>
    <t>Week  wise -Total Duration</t>
  </si>
  <si>
    <t>Agile Workshop</t>
  </si>
  <si>
    <t>Blended Learning</t>
  </si>
  <si>
    <t>Knowledge</t>
  </si>
  <si>
    <t>Project Ideation</t>
  </si>
  <si>
    <t>DevOPs</t>
  </si>
  <si>
    <t>DeveOps Essentials and AWS Basics</t>
  </si>
  <si>
    <t>Video Based</t>
  </si>
  <si>
    <t>UI &amp; Scripting Technology</t>
  </si>
  <si>
    <t>HTML5/CSS3</t>
  </si>
  <si>
    <t>Skill</t>
  </si>
  <si>
    <t>HTML5/CSS3 Practice / Hands-on</t>
  </si>
  <si>
    <t>Hands-on</t>
  </si>
  <si>
    <t>JavaScript</t>
  </si>
  <si>
    <t>JavaScript Practice / Hands-on</t>
  </si>
  <si>
    <t>Requirement Analysis</t>
  </si>
  <si>
    <t>Coding Challenge(Web UI)</t>
  </si>
  <si>
    <t>Database</t>
  </si>
  <si>
    <t>ANSI SQL Using MySQL</t>
  </si>
  <si>
    <t>ANSI SQL Using MySQL Practice / Hands-on</t>
  </si>
  <si>
    <t>Code Challenge (ANSI SQL)</t>
  </si>
  <si>
    <t>IDP</t>
  </si>
  <si>
    <t>Project  High Level Design Demo</t>
  </si>
  <si>
    <t>Project</t>
  </si>
  <si>
    <t>Application Programming</t>
  </si>
  <si>
    <t>Core Java</t>
  </si>
  <si>
    <t>Design Document &amp; Prototype</t>
  </si>
  <si>
    <t>Core Java- Practice / Hands-on</t>
  </si>
  <si>
    <t>Code Challenge(Core Java/JDBC)</t>
  </si>
  <si>
    <t>Inspired Learning - Phase 1</t>
  </si>
  <si>
    <t>Introduction to CCM</t>
  </si>
  <si>
    <t>Qudient Inspire Designer</t>
  </si>
  <si>
    <t>Assessment</t>
  </si>
  <si>
    <t>Stage 1 Assessment</t>
  </si>
  <si>
    <t>Certification</t>
  </si>
  <si>
    <t>Project Artifacts Review</t>
  </si>
  <si>
    <t>Spring Core Maven</t>
  </si>
  <si>
    <t>Spring Core, Maven</t>
  </si>
  <si>
    <t>Sprint 1 Development &amp; Demo</t>
  </si>
  <si>
    <t>Spring Core, Maven - Practice / Hands-on</t>
  </si>
  <si>
    <t>Spring Core, Maven - Code Challenge</t>
  </si>
  <si>
    <t>TDD, Junit and Code Quality</t>
  </si>
  <si>
    <t>TDD, Junit, Code Quality</t>
  </si>
  <si>
    <t>TDD, Junit, Code Quality - Practice/Hands-on</t>
  </si>
  <si>
    <t>TDD, Junit, Code Quality - Code Challenge</t>
  </si>
  <si>
    <t>IDP - Sprint1</t>
  </si>
  <si>
    <t xml:space="preserve">Data Modelling/DAO </t>
  </si>
  <si>
    <t>IDP - Sprint 1 Review</t>
  </si>
  <si>
    <t>Review - Sprint 1</t>
  </si>
  <si>
    <t>Spring MVC with Spring Boot</t>
  </si>
  <si>
    <t>Introduction to MVC, JSP, Servlets</t>
  </si>
  <si>
    <t>Sprint 2 Development, Integration &amp; Demo</t>
  </si>
  <si>
    <t>Introduction to Spring MVC, Spring Boot</t>
  </si>
  <si>
    <t>Spring MVC, Spring Boot - Practice/Hands-on</t>
  </si>
  <si>
    <t>Code Challenge(Spring MVC with Spring Boot)</t>
  </si>
  <si>
    <t xml:space="preserve">Interim Evaluation </t>
  </si>
  <si>
    <t>Interim evaluation- Project+Technical</t>
  </si>
  <si>
    <t>MongoDB</t>
  </si>
  <si>
    <t>The Complete Developers Guide to MongoDB</t>
  </si>
  <si>
    <t>Elearning</t>
  </si>
  <si>
    <t xml:space="preserve">Microservices </t>
  </si>
  <si>
    <t>MSA with Spring Security using Spring Cloud</t>
  </si>
  <si>
    <t>ILT/VILT</t>
  </si>
  <si>
    <t>Containerization</t>
  </si>
  <si>
    <t>Docker basics</t>
  </si>
  <si>
    <t>Python</t>
  </si>
  <si>
    <t>Python - Hands-on/Practice</t>
  </si>
  <si>
    <t>Code Challenge(Python)</t>
  </si>
  <si>
    <t>IDP - Sprint2</t>
  </si>
  <si>
    <t>IDP - Integration and Demo</t>
  </si>
  <si>
    <t>IDP - Sprint 2 Review</t>
  </si>
  <si>
    <t>Sprint 2 Review</t>
  </si>
  <si>
    <t>Inspired Learning - Phase 2</t>
  </si>
  <si>
    <t>Quadient Inspire Interactive</t>
  </si>
  <si>
    <t xml:space="preserve">Clearn course </t>
  </si>
  <si>
    <t>Scala</t>
  </si>
  <si>
    <t>Scala for Beginners: Learn the Core Concepts and Syntax (udemy.com)</t>
  </si>
  <si>
    <t>Flask</t>
  </si>
  <si>
    <t>Build REST APIs with Flask and Python (The Complete Course) (udemy.com)</t>
  </si>
  <si>
    <t>Neo4J</t>
  </si>
  <si>
    <t>Neo4j: GraphDB Foundations with Cypher (udemy.com)</t>
  </si>
  <si>
    <t xml:space="preserve">Final Evaluation </t>
  </si>
  <si>
    <t>Final Evaluation - Project+Technical</t>
  </si>
  <si>
    <t>All Stages</t>
  </si>
  <si>
    <t>Behavioral Skills</t>
  </si>
  <si>
    <t>Behavioral Sessions</t>
  </si>
  <si>
    <t>ILT</t>
  </si>
  <si>
    <t>Gen AI Learning</t>
  </si>
  <si>
    <t>AI Accelerate</t>
  </si>
  <si>
    <t>Cognizant Gen AI Platform</t>
  </si>
  <si>
    <t>Cognizant Flowsource 101 foundation program [101-BASICS] (ELRNG02089)</t>
  </si>
  <si>
    <t>E-Learning</t>
  </si>
  <si>
    <t>Gen AI - Code Companion Tools</t>
  </si>
  <si>
    <t>Github Copilot</t>
  </si>
  <si>
    <t>self-paced</t>
  </si>
  <si>
    <t>VILT/ILT</t>
  </si>
  <si>
    <t>Hands-On</t>
  </si>
  <si>
    <t>Cohort Mentoring Sessions</t>
  </si>
  <si>
    <t>Cohort Mentor Sessions</t>
  </si>
  <si>
    <t xml:space="preserve">Total Track Duration with Technical Sessions (in hrs.) : </t>
  </si>
  <si>
    <t>Stage 1  - Technical Scope</t>
  </si>
  <si>
    <r>
      <t xml:space="preserve">Proficiency Level: </t>
    </r>
    <r>
      <rPr>
        <sz val="10"/>
        <color rgb="FF000000"/>
        <rFont val="Arial"/>
        <family val="2"/>
      </rPr>
      <t>Learner</t>
    </r>
  </si>
  <si>
    <t>Key Concept</t>
  </si>
  <si>
    <t>Topic</t>
  </si>
  <si>
    <t>Sub Topics</t>
  </si>
  <si>
    <t>UI &amp; Scripting Technologies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</si>
  <si>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</si>
  <si>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</si>
  <si>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</si>
  <si>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</si>
  <si>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</si>
  <si>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</si>
  <si>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</si>
  <si>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</si>
  <si>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</si>
  <si>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</si>
  <si>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</si>
  <si>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</si>
  <si>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&lt;input&gt; element in HTML5,  &lt;output&gt;, placeholder attribute, autofocus, required</t>
  </si>
  <si>
    <t>HTML5 - Web Storage</t>
  </si>
  <si>
    <t>Session storage, local storage and Delete web storage</t>
  </si>
  <si>
    <t>HTML5 - Web SQL Database</t>
  </si>
  <si>
    <t>openDatabase,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</si>
  <si>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</si>
  <si>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</si>
  <si>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</si>
  <si>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</si>
  <si>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</si>
  <si>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</si>
  <si>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</si>
  <si>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</si>
  <si>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</si>
  <si>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</si>
  <si>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</si>
  <si>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</si>
  <si>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</si>
  <si>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</si>
  <si>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</si>
  <si>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</si>
  <si>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</si>
  <si>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</si>
  <si>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</si>
  <si>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 xml:space="preserve">ANSI SQL </t>
  </si>
  <si>
    <t>Overview of ANSI SQL</t>
  </si>
  <si>
    <t>What is ANSI SQL?, Why is it important?, Benefits of using ANSI SQL syntax in database programming, Different types of SQL</t>
  </si>
  <si>
    <t>Introduction to Database Design</t>
  </si>
  <si>
    <t>What is a Database?, Different types of Databases, Benefits of Relational Databases</t>
  </si>
  <si>
    <t>Data Modelling Process</t>
  </si>
  <si>
    <t>What is Data Modelling and the Design Process?, Determine The Goal Of The Database, Consider the Current System, Gathering Requirements of the Database, Identifying Entities, Defining the Attributes</t>
  </si>
  <si>
    <t>Database Design</t>
  </si>
  <si>
    <t xml:space="preserve">Normalization, First Normal Form (1NF), Second Normal Form(2NF), Third Normal Form(3NF), Relationships, </t>
  </si>
  <si>
    <t>Design Considerations</t>
  </si>
  <si>
    <t>Data Types and Precision, Integrity Constraints, Naming Conventions</t>
  </si>
  <si>
    <t>Data Types</t>
  </si>
  <si>
    <t>Exact numeric data types-bigint, int, smallint, tinyint, bit, decimal, numeric, money, smallmoney
Approximate numeric data types- float(n), real
Date &amp; Time data types-datetime, smalldatetime, date, time, datetimeoffset, datetime2
Character strings data types - char, varchar, varchar(max), text
Unicode character string data types- nchar, nvarchar, ntext
Binary string data types- binary, varbinary, image
Other data types- cursor, rowversion, hierarchyid, uniqueidentifier, sql_variant, XML, Spatial Geometry type, Spatial Geography type, table</t>
  </si>
  <si>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</si>
  <si>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</si>
  <si>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</si>
  <si>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</si>
  <si>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</si>
  <si>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</si>
  <si>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</si>
  <si>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</si>
  <si>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</si>
  <si>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</si>
  <si>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</si>
  <si>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GROUP BY, HAVING, GROUPING SETS, CUBE, ROLLUP</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</si>
  <si>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</si>
  <si>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</si>
  <si>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</si>
  <si>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</si>
  <si>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</si>
  <si>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</si>
  <si>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</si>
  <si>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 xml:space="preserve">CASE, COALESCE, NULLIF </t>
  </si>
  <si>
    <t xml:space="preserve">Core Java </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</si>
  <si>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</si>
  <si>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</si>
  <si>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</si>
  <si>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</si>
  <si>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</si>
  <si>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</si>
  <si>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</si>
  <si>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
LocalDate, LocalTime,LocalDateTime, Instant, Duration, Period, TemporalAdjusters</t>
  </si>
  <si>
    <t>Multithreading, Sorting in Java</t>
  </si>
  <si>
    <t xml:space="preserve">Creating a Thread, Suspending, Resuming and Stopping Threads, Serial and Parallel Sorts in Java,Timertask,ExecutorService,ScheduledExecutorService </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</si>
  <si>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</si>
  <si>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</si>
  <si>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</si>
  <si>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</si>
  <si>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</si>
  <si>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 xml:space="preserve">Java Stream vs. Collection, Different ways to create streams(Stream.of(), List.stream(), Stream.generate() or Stream.iterate(),String chars or String tokens),Convert streams to collections,
Intermediate Operations (filter(),map(),flatMap(),distinct(),sorted(),peek(),limit(),skip())
Terminal Operations (forEach(),forEachOrdered(),toArray(),reduce(),collect(),min(),max(),count(),anyMatch(),allMatch(),noneMatch(),findFirst(),findAny()), Parallelism in Java Stream
Optional.empty(), Optional.of(), Optional.ofNullable(), ifPresent(), isPresent(), orElse(), orElseThrow(), filter()
</t>
  </si>
  <si>
    <t>Java 11,12 Features</t>
  </si>
  <si>
    <t>String Methods
Local-Variable Syntax for Lambda Parameters
Nested Based Access Control
constantdynamic 
Reading/Writing Strings to and from the Files
Switch Expression Enhancements
File mismatch method
Compact Number Formatting
Streams - teeing 
instanceof improvements</t>
  </si>
  <si>
    <t>Java Security</t>
  </si>
  <si>
    <t>Introduction to Java Security,Java Cryptography,Public Key Infrastructure,Authentication,Secure Communication</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</si>
  <si>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</si>
  <si>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</si>
  <si>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</si>
  <si>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</si>
  <si>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</si>
  <si>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</si>
  <si>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</si>
  <si>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</si>
  <si>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</si>
  <si>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</si>
  <si>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</si>
  <si>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Stage 2 - Technical Scope</t>
  </si>
  <si>
    <t>IoC and DI Framework</t>
  </si>
  <si>
    <t xml:space="preserve">Spring Core </t>
  </si>
  <si>
    <t>Dependency Injection</t>
  </si>
  <si>
    <t>Setter Injection, Constructor Injection, Autowiring, Injecting Collections, Inner Beans, Inheritance, Interfaces, Scope</t>
  </si>
  <si>
    <t>Reading values from Property Files</t>
  </si>
  <si>
    <t>PropertyPlaceholderConfigurer , ResourceBundleMessageSource</t>
  </si>
  <si>
    <t>Spring JDBC and Transactions</t>
  </si>
  <si>
    <t>Executing Queries, Transaction Management</t>
  </si>
  <si>
    <t>Maven</t>
  </si>
  <si>
    <t>Maven Basics</t>
  </si>
  <si>
    <t>Maven (Local, Remote and Central Repo)</t>
  </si>
  <si>
    <t xml:space="preserve">Setup Maven </t>
  </si>
  <si>
    <t xml:space="preserve">Manage Repositories and Dependency </t>
  </si>
  <si>
    <t>Management</t>
  </si>
  <si>
    <t>Managing dependent libraries, building and deploying project, create package (jar or war)</t>
  </si>
  <si>
    <t>Integrate Maven with Eclipse</t>
  </si>
  <si>
    <t>Manage testing and deployment options</t>
  </si>
  <si>
    <t xml:space="preserve">Build life cycle  </t>
  </si>
  <si>
    <t>Build life cycle,</t>
  </si>
  <si>
    <t>Using environment variables JAVA_HOME, MAVEN_HOME, PATH, mvn -version</t>
  </si>
  <si>
    <t>Create, build and deploy a maven project (Using Eclipse and Command Line)</t>
  </si>
  <si>
    <t>Various aspects available in pom.xml - groupId, artifactId, version, packaging, dependencies, dependency scope (compile, provided, runtime, test, system), properties</t>
  </si>
  <si>
    <t>Plugins</t>
  </si>
  <si>
    <t>Run Maven Builds</t>
  </si>
  <si>
    <t>Running Maven Builds for a sample Spring Project</t>
  </si>
  <si>
    <t>Unit Testing</t>
  </si>
  <si>
    <t>Unit Testing Fundamentals</t>
  </si>
  <si>
    <t>TDD Fundamentals</t>
  </si>
  <si>
    <t>Environment Setup, Assertions, Execution Procedure, Executing Tests</t>
  </si>
  <si>
    <t>Basic Tests using Junits</t>
  </si>
  <si>
    <t>Parameterized Tests</t>
  </si>
  <si>
    <t>Composing and running a test suite</t>
  </si>
  <si>
    <t>Refactoring code, using setup and teardown</t>
  </si>
  <si>
    <t>Code Quality</t>
  </si>
  <si>
    <t>PMD, Checkstyle, FindBugs</t>
  </si>
  <si>
    <t>Running PMD rulesets for checking Code Quality</t>
  </si>
  <si>
    <t>Use Checkstyle, SONAR, Findbugs, FxCopAnalyzers</t>
  </si>
  <si>
    <t>Refactoring code to improve code quality</t>
  </si>
  <si>
    <t>Practice to generate the code quality report with no errors and minimum warnings</t>
  </si>
  <si>
    <t>Coding best practices</t>
  </si>
  <si>
    <t>Code skeleton template covering best practices</t>
  </si>
  <si>
    <t>Codenizant tools</t>
  </si>
  <si>
    <t>Web Framework</t>
  </si>
  <si>
    <t>Understanding Servlets</t>
  </si>
  <si>
    <t>Servlet Overview,DispatcherServlet</t>
  </si>
  <si>
    <t>Spring MVC Fundamentals</t>
  </si>
  <si>
    <t>Introduction to Application Servers (Tomcat),Spring MVC Request Flow</t>
  </si>
  <si>
    <t>Web Application with Spring Boot</t>
  </si>
  <si>
    <t>Initializing and Auto Configuring Spring Boot App</t>
  </si>
  <si>
    <t>Configuring Web App using Spring Boot</t>
  </si>
  <si>
    <t>Spring MVC Tag Libraries</t>
  </si>
  <si>
    <t>View Resolvers</t>
  </si>
  <si>
    <t>Controllers</t>
  </si>
  <si>
    <t>Internationalization</t>
  </si>
  <si>
    <t>Data Binding, Validation and Exception Handling</t>
  </si>
  <si>
    <t>Microservices</t>
  </si>
  <si>
    <t>Introduction to Microservices</t>
  </si>
  <si>
    <t>Microservices Basics, Monolithic to Microservices</t>
  </si>
  <si>
    <t>What is Monolithic Architecture, disadvantages of Monolithic architecture,  What are Microservices, Microservices application architecture, Advantages and disadvantages of using Microservices, challenges in implementing Microservices and the solution / patterns available to address those challenges.</t>
  </si>
  <si>
    <t>Microservice Architecture</t>
  </si>
  <si>
    <t xml:space="preserve"> Microservice Components</t>
  </si>
  <si>
    <t>Microservices components and Patterns, Service Discovery, Routing, Centralized Configuration Management, Circuit Breakers, API Gateway, Service to service communication APIs</t>
  </si>
  <si>
    <t>Microservice Use Case</t>
  </si>
  <si>
    <t>Create 3 Microservices using Spring Boot REST and spring Cloud  and implement the Microservices application architecture by making the microservices communicate</t>
  </si>
  <si>
    <t>Create 2 independent microservices using Spring boot REST, create a third microservice which will consume the first 2 microservices. Use Feign Client for microservice to microservice communication. Use Spring Cloud components for implementing the required patterns. User Eureka server for service discovery.
Invoke the 3rd Microservice from the Postman and check the functionality.</t>
  </si>
  <si>
    <t>Scripting  &amp; Automation</t>
  </si>
  <si>
    <t>Basics</t>
  </si>
  <si>
    <t>Python Introduction, Python Features, Python Environment Variables, Running Python Code with Commmand Line, .py Files</t>
  </si>
  <si>
    <t>Variables and Types</t>
  </si>
  <si>
    <t>Python Variables, Python Numbers, Python Strings, String Methods, Python Casting Data Types</t>
  </si>
  <si>
    <t>Python Operators</t>
  </si>
  <si>
    <t>Types of Operator, Mathematical Operators, Assignment Operators, Comparison Operators, Logical Operators, Membership Operators, Identity Operators, Bitwise Operators, Operators Precedence</t>
  </si>
  <si>
    <t>Program Flow</t>
  </si>
  <si>
    <t>If Condition Python Statements, Elif Keyword, If... Else Conditions, AND Condition in an If Statement, OR Condition in an If Statement, While Loops, break Keyword, continue Keyword, For Loops, Looping through String Values, Range Function in For Loops, For Loop Else Statement</t>
  </si>
  <si>
    <t>Functions</t>
  </si>
  <si>
    <t>What are Functions?, Defining a Function, Calling a Function, Pass by Reference vs Value, Function Arguments, Required Arguments, Keyword Arguments, Default Arguments, Variable-length Arguments, The Anonymous Functions, The return Statement, Global vs. Local variables</t>
  </si>
  <si>
    <t>Collections - Lists</t>
  </si>
  <si>
    <t xml:space="preserve">Python List Data Type, List Append Method, Accessing Values in Lists, Updating Lists, Delete List Elements, Basic List Operations, Indexing, Slicing and Matrixes, Built-in List Functions and Methods   </t>
  </si>
  <si>
    <t>Collections - Tuples</t>
  </si>
  <si>
    <t>What are Tuples?, Accessing Values in Tuples, Updating Tuples, Delete Tuple Elements, Basic Tuples Operations, Indexing, Slicing, and Matrixes, Built-in Tuple Functions</t>
  </si>
  <si>
    <t>Collections - Dictionary</t>
  </si>
  <si>
    <t xml:space="preserve">What is Dictionary?, Accessing Values in Dictionary, Updating Dictionary, Delete Dictionary Elements, Properties of Dictionary Keys, Built-in Dictionary Functions and Methods </t>
  </si>
  <si>
    <t>Object Oriented Programming (OOP)</t>
  </si>
  <si>
    <t>What is OOP?, Why OOP?, Characteristics of OOP, Creating Python Classes
, Python Class Properties,  Class __init__ function, Class self Argument, Python Class Functions, Class Function return, Python Private Properties, Python Class Private Functions, Delete an Object, Introduction to Object Inheritance, Python Class Inheritance, Class Inheritance Function Override</t>
  </si>
  <si>
    <t>File I/O</t>
  </si>
  <si>
    <t>Printing to the Screen, Reading Keyboard Input, The file Object Attributes, Opening Text Files with Python,  Reading Text Files with Python, Using a Loop to Read all Content in a Text File, Writing to a Text File with Python, Creating a Text File, Renaming and Deleting Files, Directories in Python, File and Directory Related Methods</t>
  </si>
  <si>
    <t>Modules</t>
  </si>
  <si>
    <t>What are Modules in Python?, The import Statement, The from...import Statement, The from...import * Statement, Executing Modules as Scripts, Locating Modules, The PYTHONPATH Variable, Namespaces and Scoping, The dir( ) Function, The globals() and locals() Functions, The reload() Function, Packages in Python</t>
  </si>
  <si>
    <t>Week Wise Exercise Execution</t>
  </si>
  <si>
    <t>What is CCM. Applications and Business Use Cases.</t>
  </si>
  <si>
    <t>CCM tools and Architecture.</t>
  </si>
  <si>
    <t>CCM Essentials and Basics</t>
  </si>
  <si>
    <t>Introduction to Inspire Designer and Installation</t>
  </si>
  <si>
    <r>
      <t>Data Input Modules (</t>
    </r>
    <r>
      <rPr>
        <b/>
        <sz val="11"/>
        <color theme="1"/>
        <rFont val="Calibri"/>
        <family val="2"/>
        <scheme val="minor"/>
      </rPr>
      <t xml:space="preserve">XML Data Input, JSON Data Input, Data Input, Internal Data Input </t>
    </r>
    <r>
      <rPr>
        <sz val="11"/>
        <color theme="1"/>
        <rFont val="Calibri"/>
        <family val="2"/>
        <scheme val="minor"/>
      </rPr>
      <t>and</t>
    </r>
    <r>
      <rPr>
        <b/>
        <sz val="11"/>
        <color theme="1"/>
        <rFont val="Calibri"/>
        <family val="2"/>
        <scheme val="minor"/>
      </rPr>
      <t xml:space="preserve"> Param Input</t>
    </r>
    <r>
      <rPr>
        <sz val="11"/>
        <color theme="1"/>
        <rFont val="Calibri"/>
        <family val="2"/>
        <scheme val="minor"/>
      </rPr>
      <t>)</t>
    </r>
  </si>
  <si>
    <t>Exercises on Data Input Modules</t>
  </si>
  <si>
    <r>
      <t>Data Processing Modules (</t>
    </r>
    <r>
      <rPr>
        <b/>
        <sz val="11"/>
        <color theme="1"/>
        <rFont val="Calibri"/>
        <family val="2"/>
        <scheme val="minor"/>
      </rPr>
      <t>Merger Modules</t>
    </r>
    <r>
      <rPr>
        <sz val="11"/>
        <color theme="1"/>
        <rFont val="Calibri"/>
        <family val="2"/>
        <scheme val="minor"/>
      </rPr>
      <t xml:space="preserve">, </t>
    </r>
    <r>
      <rPr>
        <b/>
        <sz val="11"/>
        <color theme="1"/>
        <rFont val="Calibri"/>
        <family val="2"/>
        <scheme val="minor"/>
      </rPr>
      <t>Data Transformer</t>
    </r>
    <r>
      <rPr>
        <sz val="11"/>
        <color theme="1"/>
        <rFont val="Calibri"/>
        <family val="2"/>
        <scheme val="minor"/>
      </rPr>
      <t>)</t>
    </r>
  </si>
  <si>
    <t>Exercise covering  operations in Data Transformer. Data manipulation Exercises.</t>
  </si>
  <si>
    <r>
      <t xml:space="preserve">Design and Layout (Includes Creating and working with </t>
    </r>
    <r>
      <rPr>
        <b/>
        <sz val="11"/>
        <color theme="1"/>
        <rFont val="Calibri"/>
        <family val="2"/>
        <scheme val="minor"/>
      </rPr>
      <t>Styles</t>
    </r>
    <r>
      <rPr>
        <sz val="11"/>
        <color theme="1"/>
        <rFont val="Calibri"/>
        <family val="2"/>
        <scheme val="minor"/>
      </rPr>
      <t xml:space="preserve">, </t>
    </r>
    <r>
      <rPr>
        <b/>
        <sz val="11"/>
        <color theme="1"/>
        <rFont val="Calibri"/>
        <family val="2"/>
        <scheme val="minor"/>
      </rPr>
      <t>Static and Dynamic Tables</t>
    </r>
    <r>
      <rPr>
        <sz val="11"/>
        <color theme="1"/>
        <rFont val="Calibri"/>
        <family val="2"/>
        <scheme val="minor"/>
      </rPr>
      <t xml:space="preserve">, </t>
    </r>
    <r>
      <rPr>
        <b/>
        <sz val="11"/>
        <color theme="1"/>
        <rFont val="Calibri"/>
        <family val="2"/>
        <scheme val="minor"/>
      </rPr>
      <t>Images</t>
    </r>
    <r>
      <rPr>
        <sz val="11"/>
        <color theme="1"/>
        <rFont val="Calibri"/>
        <family val="2"/>
        <scheme val="minor"/>
      </rPr>
      <t>,</t>
    </r>
    <r>
      <rPr>
        <b/>
        <sz val="11"/>
        <color theme="1"/>
        <rFont val="Calibri"/>
        <family val="2"/>
        <scheme val="minor"/>
      </rPr>
      <t xml:space="preserve"> Types of flows</t>
    </r>
    <r>
      <rPr>
        <sz val="11"/>
        <color theme="1"/>
        <rFont val="Calibri"/>
        <family val="2"/>
        <scheme val="minor"/>
      </rPr>
      <t xml:space="preserve">, </t>
    </r>
    <r>
      <rPr>
        <b/>
        <sz val="11"/>
        <color theme="1"/>
        <rFont val="Calibri"/>
        <family val="2"/>
        <scheme val="minor"/>
      </rPr>
      <t>Page setup</t>
    </r>
    <r>
      <rPr>
        <sz val="11"/>
        <color theme="1"/>
        <rFont val="Calibri"/>
        <family val="2"/>
        <scheme val="minor"/>
      </rPr>
      <t xml:space="preserve"> and </t>
    </r>
    <r>
      <rPr>
        <b/>
        <sz val="11"/>
        <color theme="1"/>
        <rFont val="Calibri"/>
        <family val="2"/>
        <scheme val="minor"/>
      </rPr>
      <t>Overflow</t>
    </r>
    <r>
      <rPr>
        <sz val="11"/>
        <color theme="1"/>
        <rFont val="Calibri"/>
        <family val="2"/>
        <scheme val="minor"/>
      </rPr>
      <t>)</t>
    </r>
  </si>
  <si>
    <t>Exercise on creating styles, tables, repeated flows and overflow scenarios</t>
  </si>
  <si>
    <t>Impositioning and Output Modules.</t>
  </si>
  <si>
    <t>Best practices to be followed.</t>
  </si>
  <si>
    <t>End Exercise to generate a output based on the requirement</t>
  </si>
  <si>
    <t>Introduction to Interactive and Business Application.</t>
  </si>
  <si>
    <r>
      <t xml:space="preserve">Concept of </t>
    </r>
    <r>
      <rPr>
        <b/>
        <sz val="11"/>
        <color theme="1"/>
        <rFont val="Calibri"/>
        <family val="2"/>
        <scheme val="minor"/>
      </rPr>
      <t>Master Template, Data Master, Resource Master, Template, and Blocks.</t>
    </r>
  </si>
  <si>
    <t>Exercise on Creating Master Template, Linking with Data Master and Resource Master.</t>
  </si>
  <si>
    <r>
      <rPr>
        <b/>
        <sz val="11"/>
        <color theme="1"/>
        <rFont val="Calibri"/>
        <family val="2"/>
        <scheme val="minor"/>
      </rPr>
      <t>Template editor</t>
    </r>
    <r>
      <rPr>
        <sz val="11"/>
        <color theme="1"/>
        <rFont val="Calibri"/>
        <family val="2"/>
        <scheme val="minor"/>
      </rPr>
      <t xml:space="preserve"> in Interactive.</t>
    </r>
  </si>
  <si>
    <t>Exercise on working in Interactive Template</t>
  </si>
  <si>
    <t>CLearn</t>
  </si>
  <si>
    <t>Designer E- Learning Course</t>
  </si>
  <si>
    <t>Designer Assessment</t>
  </si>
  <si>
    <t xml:space="preserve">Interactive E-Learning Course </t>
  </si>
  <si>
    <t>Interactive Assesment</t>
  </si>
  <si>
    <t>BU Final Exercise Evaluation</t>
  </si>
  <si>
    <t>Designer Certification Exercise and Interacitve Exercise Certification</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</si>
  <si>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</si>
  <si>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</si>
  <si>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</si>
  <si>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</si>
  <si>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</si>
  <si>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</si>
  <si>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</si>
  <si>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</si>
  <si>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</si>
  <si>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</si>
  <si>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</si>
  <si>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</si>
  <si>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</si>
  <si>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</si>
  <si>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</si>
  <si>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</si>
  <si>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</si>
  <si>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</si>
  <si>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</si>
  <si>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</si>
  <si>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</si>
  <si>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</si>
  <si>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</si>
  <si>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</si>
  <si>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</si>
  <si>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</si>
  <si>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
•	Writing functions and boilerplate code
•	Generating comments and documentation
•	Refactoring and optimizing code
•	Creating test cases</t>
  </si>
  <si>
    <t>Security and Ethical Considerations</t>
  </si>
  <si>
    <t>•	Understanding AI-generated code risks
•	Licensing and attribution concerns
•	Data privacy and usage policies
•	Responsible use of Copilot</t>
  </si>
  <si>
    <t>Best Practices</t>
  </si>
  <si>
    <t>•	Reviewing AI-generated code
•	Combining Copilot with manual coding
•	Using Copilot for learning new languages
•	Avoiding over-reliance</t>
  </si>
  <si>
    <t>Introduction to Intelligent Document Capture</t>
  </si>
  <si>
    <t>What is Intelligent Document Capture</t>
  </si>
  <si>
    <t>How does intelligent document processing work?</t>
  </si>
  <si>
    <t>IDP applications across industries.</t>
  </si>
  <si>
    <t>Different Product available in the market</t>
  </si>
  <si>
    <t>Any One Capture Product Demo</t>
  </si>
  <si>
    <t>Introduction to capture product modules</t>
  </si>
  <si>
    <t>Creation of Application,Batch Class,Document Class,Page and Fields</t>
  </si>
  <si>
    <t>Showcasing Workflow creation</t>
  </si>
  <si>
    <t xml:space="preserve">Showcase of configurations creation for different Page Classfication </t>
  </si>
  <si>
    <t xml:space="preserve">Showcase of configurations creation for different Data Extraction </t>
  </si>
  <si>
    <t xml:space="preserve">Showcase Verification configuration </t>
  </si>
  <si>
    <t xml:space="preserve">Showcase Export configuration </t>
  </si>
  <si>
    <t>Softwares</t>
  </si>
  <si>
    <t>Learning Path</t>
  </si>
  <si>
    <t>ICP_Java - v1</t>
  </si>
  <si>
    <t>MS Office</t>
  </si>
  <si>
    <t>Notepad ++</t>
  </si>
  <si>
    <t>Chrome</t>
  </si>
  <si>
    <t>Adobe reader</t>
  </si>
  <si>
    <t>GIT 2.21.0 or above</t>
  </si>
  <si>
    <t>Mysql Community Server 8</t>
  </si>
  <si>
    <t>MySQL Workbench latest version</t>
  </si>
  <si>
    <t>Oracle SQL developer - Version 19.2.1</t>
  </si>
  <si>
    <t>Eclipse Oxygen 3A</t>
  </si>
  <si>
    <t>JDK 12  / Open jdk 12</t>
  </si>
  <si>
    <t>Tomcat 9</t>
  </si>
  <si>
    <t>Jenkins 2</t>
  </si>
  <si>
    <t>Spring Tool Suite 4.x</t>
  </si>
  <si>
    <t>Postman Client, Chrome Extension</t>
  </si>
  <si>
    <t>Node JS 10.x</t>
  </si>
  <si>
    <t>Angular 8/ React 17.0.1 (OpenJDK)</t>
  </si>
  <si>
    <t>Visual Studio Code</t>
  </si>
  <si>
    <t>Putty</t>
  </si>
  <si>
    <t>Maven 3.6.3</t>
  </si>
  <si>
    <t>Track</t>
  </si>
  <si>
    <t>Hardware</t>
  </si>
  <si>
    <t>ICP Java</t>
  </si>
  <si>
    <t>16 GB</t>
  </si>
  <si>
    <t>ORACLE MYSQL Server Community Edition 8.0.29</t>
  </si>
  <si>
    <t>Oracle MySQL Workbench 8.0.29 Windows English</t>
  </si>
  <si>
    <t>Eclipse Org Eclipse IDE 2022-09</t>
  </si>
  <si>
    <t>Oracle OpenJDK 17.0.6.0</t>
  </si>
  <si>
    <t>The Apache Software Foundation Apache Maven 3.6.1</t>
  </si>
  <si>
    <t>Microsoft Visual Studio Code 1.76</t>
  </si>
  <si>
    <t>Pivotal Software Spring Tool Suite 4.17.2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</si>
</sst>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0"/>
      <color theme="2"/>
      <name val="Arial"/>
      <family val="2"/>
    </font>
    <font>
      <sz val="10"/>
      <color theme="4" tint="-0.499984740745262"/>
      <name val="Arial"/>
      <family val="2"/>
    </font>
    <font>
      <sz val="10"/>
      <color theme="1"/>
      <name val="Arial"/>
      <family val="2"/>
    </font>
    <font>
      <b/>
      <sz val="10"/>
      <color theme="0"/>
      <name val="Arial"/>
      <family val="2"/>
    </font>
    <font>
      <sz val="10"/>
      <color theme="1"/>
      <name val="Calibri"/>
      <family val="2"/>
      <scheme val="minor"/>
    </font>
    <font>
      <sz val="10"/>
      <name val="Arial"/>
      <family val="2"/>
    </font>
    <font>
      <b/>
      <sz val="10"/>
      <color theme="1"/>
      <name val="Arial"/>
      <family val="2"/>
    </font>
    <font>
      <sz val="10"/>
      <color theme="0"/>
      <name val="Arial"/>
      <family val="2"/>
    </font>
    <font>
      <b/>
      <sz val="10"/>
      <color rgb="FFFFFFFF"/>
      <name val="Arial"/>
      <family val="2"/>
    </font>
    <font>
      <b/>
      <sz val="10"/>
      <color rgb="FF000000"/>
      <name val="Arial"/>
      <family val="2"/>
    </font>
    <font>
      <sz val="10"/>
      <color rgb="FF000000"/>
      <name val="Arial"/>
      <family val="2"/>
    </font>
    <font>
      <sz val="10"/>
      <color rgb="FF1A1816"/>
      <name val="Arial"/>
      <family val="2"/>
    </font>
    <font>
      <sz val="11"/>
      <color theme="1"/>
      <name val="Arial"/>
      <family val="2"/>
    </font>
    <font>
      <b/>
      <sz val="11"/>
      <color theme="0"/>
      <name val="Arial"/>
      <family val="2"/>
    </font>
    <font>
      <sz val="11"/>
      <color rgb="FF000000"/>
      <name val="Arial"/>
      <family val="2"/>
    </font>
    <font>
      <sz val="10"/>
      <color rgb="FF272C33"/>
      <name val="Arial"/>
      <family val="2"/>
    </font>
    <font>
      <sz val="11"/>
      <color rgb="FF000000"/>
      <name val="Calibri"/>
      <family val="2"/>
      <scheme val="minor"/>
    </font>
    <font>
      <b/>
      <sz val="11"/>
      <color theme="1"/>
      <name val="Calibri"/>
      <family val="2"/>
      <scheme val="minor"/>
    </font>
    <font>
      <sz val="11"/>
      <color rgb="FF000000"/>
      <name val="Aptos"/>
      <family val="2"/>
    </font>
    <font>
      <sz val="11"/>
      <name val="Aptos"/>
      <family val="2"/>
    </font>
    <font>
      <b/>
      <sz val="12"/>
      <color rgb="FFFFFFFF"/>
      <name val="Calibri"/>
      <family val="2"/>
      <scheme val="minor"/>
    </font>
    <font>
      <b/>
      <sz val="11"/>
      <color rgb="FF000000"/>
      <name val="Calibri"/>
      <family val="2"/>
      <scheme val="minor"/>
    </font>
    <font>
      <sz val="11"/>
      <color rgb="FF000000"/>
      <name val="Calibri"/>
      <family val="2"/>
    </font>
    <font>
      <b/>
      <sz val="12"/>
      <color theme="0"/>
      <name val="Calibri"/>
      <family val="2"/>
      <scheme val="minor"/>
    </font>
  </fonts>
  <fills count="20">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rgb="FF002060"/>
        <bgColor indexed="64"/>
      </patternFill>
    </fill>
    <fill>
      <patternFill patternType="solid">
        <fgColor rgb="FF203764"/>
        <bgColor rgb="FF000000"/>
      </patternFill>
    </fill>
    <fill>
      <patternFill patternType="solid">
        <fgColor rgb="FFFFC000"/>
        <bgColor rgb="FF000000"/>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00"/>
        <bgColor rgb="FF000000"/>
      </patternFill>
    </fill>
    <fill>
      <patternFill patternType="solid">
        <fgColor theme="5" tint="0.59999389629810485"/>
        <bgColor indexed="64"/>
      </patternFill>
    </fill>
    <fill>
      <patternFill patternType="solid">
        <fgColor rgb="FF1F4E78"/>
        <bgColor rgb="FF000000"/>
      </patternFill>
    </fill>
    <fill>
      <patternFill patternType="solid">
        <fgColor theme="0"/>
        <bgColor rgb="FF000000"/>
      </patternFill>
    </fill>
    <fill>
      <patternFill patternType="solid">
        <fgColor rgb="FF000048"/>
        <bgColor rgb="FF000000"/>
      </patternFill>
    </fill>
    <fill>
      <patternFill patternType="solid">
        <fgColor rgb="FF000048"/>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63">
    <xf numFmtId="0" fontId="0" fillId="0" borderId="0" xfId="0"/>
    <xf numFmtId="0" fontId="2" fillId="3" borderId="3" xfId="0" applyFont="1" applyFill="1" applyBorder="1" applyAlignment="1">
      <alignment horizontal="left" vertical="center"/>
    </xf>
    <xf numFmtId="0" fontId="3" fillId="4" borderId="4" xfId="0" applyFont="1" applyFill="1" applyBorder="1"/>
    <xf numFmtId="0" fontId="3" fillId="4" borderId="4" xfId="0" applyFont="1" applyFill="1" applyBorder="1" applyAlignment="1">
      <alignment wrapText="1"/>
    </xf>
    <xf numFmtId="0" fontId="2" fillId="3" borderId="3" xfId="0" applyFont="1" applyFill="1" applyBorder="1" applyAlignment="1">
      <alignment horizontal="left" vertical="center" wrapText="1"/>
    </xf>
    <xf numFmtId="0" fontId="2" fillId="3" borderId="5" xfId="0" applyFont="1" applyFill="1" applyBorder="1" applyAlignment="1">
      <alignment horizontal="left" vertical="center" wrapText="1"/>
    </xf>
    <xf numFmtId="0" fontId="4" fillId="5" borderId="7" xfId="0" applyFont="1" applyFill="1" applyBorder="1" applyAlignment="1">
      <alignment horizontal="left" vertical="center" wrapText="1"/>
    </xf>
    <xf numFmtId="0" fontId="0" fillId="0" borderId="0" xfId="0" applyAlignment="1">
      <alignment horizontal="left"/>
    </xf>
    <xf numFmtId="0" fontId="3" fillId="0" borderId="7" xfId="0" applyFont="1" applyBorder="1" applyAlignment="1">
      <alignment horizontal="lef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5" fillId="0" borderId="0" xfId="0" applyFont="1" applyAlignment="1">
      <alignment horizontal="left" vertical="center" wrapText="1"/>
    </xf>
    <xf numFmtId="0" fontId="3" fillId="6" borderId="7" xfId="0" applyFont="1" applyFill="1" applyBorder="1" applyAlignment="1">
      <alignment horizontal="left" vertical="center" wrapText="1"/>
    </xf>
    <xf numFmtId="0" fontId="3" fillId="6" borderId="7" xfId="0" applyFont="1" applyFill="1" applyBorder="1" applyAlignment="1">
      <alignment vertical="center" wrapText="1"/>
    </xf>
    <xf numFmtId="0" fontId="3" fillId="6" borderId="7" xfId="0" applyFont="1" applyFill="1" applyBorder="1" applyAlignment="1">
      <alignment horizontal="center" vertical="center" wrapText="1"/>
    </xf>
    <xf numFmtId="0" fontId="3" fillId="0" borderId="7" xfId="0" applyFont="1" applyBorder="1" applyAlignment="1">
      <alignment horizontal="center" vertical="center"/>
    </xf>
    <xf numFmtId="0" fontId="5" fillId="0" borderId="0" xfId="0" applyFont="1" applyAlignment="1">
      <alignment vertical="center" wrapText="1"/>
    </xf>
    <xf numFmtId="0" fontId="4" fillId="2" borderId="7" xfId="0" applyFont="1" applyFill="1" applyBorder="1" applyAlignment="1">
      <alignment horizontal="center" vertical="center"/>
    </xf>
    <xf numFmtId="0" fontId="0" fillId="0" borderId="0" xfId="0" applyAlignment="1">
      <alignment horizontal="center" vertical="center"/>
    </xf>
    <xf numFmtId="0" fontId="3" fillId="0" borderId="7" xfId="0" applyFont="1" applyBorder="1" applyAlignment="1">
      <alignment horizontal="left" vertical="center"/>
    </xf>
    <xf numFmtId="0" fontId="3" fillId="0" borderId="10" xfId="0" applyFont="1" applyBorder="1" applyAlignment="1">
      <alignment horizontal="left" vertical="center" wrapText="1"/>
    </xf>
    <xf numFmtId="0" fontId="4" fillId="5" borderId="7" xfId="0" applyFont="1" applyFill="1" applyBorder="1" applyAlignment="1">
      <alignment horizontal="center" vertical="center" wrapText="1"/>
    </xf>
    <xf numFmtId="0" fontId="0" fillId="0" borderId="0" xfId="0" applyAlignment="1">
      <alignment horizontal="center"/>
    </xf>
    <xf numFmtId="0" fontId="4" fillId="5" borderId="7" xfId="0" applyFont="1" applyFill="1" applyBorder="1" applyAlignment="1">
      <alignment vertical="center" wrapText="1"/>
    </xf>
    <xf numFmtId="0" fontId="0" fillId="0" borderId="0" xfId="0" applyAlignment="1">
      <alignment vertical="top"/>
    </xf>
    <xf numFmtId="0" fontId="10" fillId="10" borderId="7" xfId="0" applyFont="1" applyFill="1" applyBorder="1" applyAlignment="1">
      <alignment wrapText="1"/>
    </xf>
    <xf numFmtId="0" fontId="11" fillId="0" borderId="7" xfId="0" applyFont="1" applyBorder="1" applyAlignment="1">
      <alignment horizontal="left" vertical="center" wrapText="1"/>
    </xf>
    <xf numFmtId="0" fontId="6" fillId="0" borderId="7" xfId="0" applyFont="1" applyBorder="1" applyAlignment="1">
      <alignment horizontal="left" vertical="center" wrapText="1"/>
    </xf>
    <xf numFmtId="0" fontId="11" fillId="0" borderId="7" xfId="0" applyFont="1" applyBorder="1" applyAlignment="1">
      <alignment horizontal="left" vertical="center"/>
    </xf>
    <xf numFmtId="0" fontId="12" fillId="0" borderId="7" xfId="0" applyFont="1" applyBorder="1" applyAlignment="1">
      <alignment horizontal="left" vertical="center" wrapText="1"/>
    </xf>
    <xf numFmtId="0" fontId="5" fillId="0" borderId="0" xfId="0" applyFont="1" applyAlignment="1">
      <alignment vertical="top"/>
    </xf>
    <xf numFmtId="0" fontId="0" fillId="0" borderId="0" xfId="0" applyAlignment="1">
      <alignment vertical="top" wrapText="1"/>
    </xf>
    <xf numFmtId="0" fontId="0" fillId="0" borderId="0" xfId="0" applyAlignment="1">
      <alignment horizontal="left" vertical="top"/>
    </xf>
    <xf numFmtId="0" fontId="10" fillId="10" borderId="7" xfId="0" applyFont="1" applyFill="1" applyBorder="1" applyAlignment="1">
      <alignment horizontal="left" vertical="top" wrapText="1"/>
    </xf>
    <xf numFmtId="0" fontId="0" fillId="0" borderId="0" xfId="0" applyAlignment="1">
      <alignment horizontal="left" vertical="top" wrapText="1"/>
    </xf>
    <xf numFmtId="0" fontId="11" fillId="0" borderId="10" xfId="0" applyFont="1" applyBorder="1" applyAlignment="1">
      <alignment horizontal="left" vertical="center" wrapText="1"/>
    </xf>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13" fillId="0" borderId="7" xfId="0" applyFont="1" applyBorder="1" applyAlignment="1">
      <alignment horizontal="left" vertical="top"/>
    </xf>
    <xf numFmtId="0" fontId="11" fillId="0" borderId="7" xfId="0" applyFont="1" applyBorder="1" applyAlignment="1">
      <alignment horizontal="left" vertical="top" wrapText="1"/>
    </xf>
    <xf numFmtId="0" fontId="11" fillId="0" borderId="12" xfId="0" applyFont="1" applyBorder="1" applyAlignment="1">
      <alignment horizontal="left" vertical="top" wrapText="1"/>
    </xf>
    <xf numFmtId="0" fontId="11" fillId="0" borderId="2" xfId="0" applyFont="1" applyBorder="1" applyAlignment="1">
      <alignment horizontal="left" vertical="top" wrapText="1"/>
    </xf>
    <xf numFmtId="0" fontId="11" fillId="0" borderId="2" xfId="0" applyFont="1" applyBorder="1" applyAlignment="1">
      <alignment horizontal="left" wrapText="1"/>
    </xf>
    <xf numFmtId="0" fontId="14" fillId="7" borderId="7" xfId="0" applyFont="1" applyFill="1" applyBorder="1" applyAlignment="1">
      <alignment horizontal="center" vertical="center"/>
    </xf>
    <xf numFmtId="0" fontId="13" fillId="0" borderId="7" xfId="0" applyFont="1" applyBorder="1" applyAlignment="1">
      <alignment horizontal="right" vertical="center"/>
    </xf>
    <xf numFmtId="0" fontId="15" fillId="0" borderId="5" xfId="0" applyFont="1" applyBorder="1" applyAlignment="1">
      <alignment horizontal="left" vertical="center" wrapText="1"/>
    </xf>
    <xf numFmtId="0" fontId="4" fillId="2" borderId="7" xfId="0" applyFont="1" applyFill="1" applyBorder="1" applyAlignment="1">
      <alignment horizontal="left" vertical="center"/>
    </xf>
    <xf numFmtId="0" fontId="3" fillId="0" borderId="0" xfId="0" applyFont="1"/>
    <xf numFmtId="0" fontId="11" fillId="0" borderId="7" xfId="0" applyFont="1" applyBorder="1" applyAlignment="1">
      <alignment horizontal="center" vertical="center"/>
    </xf>
    <xf numFmtId="0" fontId="11" fillId="0" borderId="10" xfId="0" applyFont="1" applyBorder="1" applyAlignment="1">
      <alignment horizontal="center" vertical="center"/>
    </xf>
    <xf numFmtId="0" fontId="7" fillId="0" borderId="7" xfId="0" applyFont="1" applyBorder="1"/>
    <xf numFmtId="0" fontId="16" fillId="11" borderId="7" xfId="0" applyFont="1" applyFill="1" applyBorder="1" applyAlignment="1">
      <alignment vertical="center" wrapText="1"/>
    </xf>
    <xf numFmtId="0" fontId="7" fillId="0" borderId="13" xfId="0" applyFont="1" applyBorder="1" applyAlignment="1">
      <alignment horizontal="center"/>
    </xf>
    <xf numFmtId="0" fontId="17" fillId="0" borderId="7" xfId="0" applyFont="1" applyBorder="1" applyAlignment="1">
      <alignment horizontal="center" vertical="center" wrapText="1"/>
    </xf>
    <xf numFmtId="0" fontId="0" fillId="12" borderId="7" xfId="0" applyFill="1" applyBorder="1"/>
    <xf numFmtId="0" fontId="17" fillId="0" borderId="7" xfId="0" applyFont="1" applyBorder="1" applyAlignment="1">
      <alignment horizontal="left" vertical="center"/>
    </xf>
    <xf numFmtId="0" fontId="17" fillId="0" borderId="7" xfId="0" applyFont="1" applyBorder="1" applyAlignment="1">
      <alignment horizontal="left" vertical="center" wrapText="1"/>
    </xf>
    <xf numFmtId="0" fontId="10" fillId="12" borderId="7" xfId="0" applyFont="1" applyFill="1" applyBorder="1" applyAlignment="1">
      <alignment wrapText="1"/>
    </xf>
    <xf numFmtId="0" fontId="10" fillId="12" borderId="7" xfId="0" applyFont="1" applyFill="1" applyBorder="1" applyAlignment="1">
      <alignment horizontal="left" vertical="top" wrapText="1"/>
    </xf>
    <xf numFmtId="49" fontId="4" fillId="5" borderId="7" xfId="0" applyNumberFormat="1" applyFont="1" applyFill="1" applyBorder="1" applyAlignment="1">
      <alignment horizontal="left" vertical="center" wrapText="1"/>
    </xf>
    <xf numFmtId="0" fontId="0" fillId="0" borderId="7" xfId="0" applyBorder="1" applyAlignment="1">
      <alignment horizontal="center" vertical="center"/>
    </xf>
    <xf numFmtId="0" fontId="0" fillId="0" borderId="7" xfId="0" applyBorder="1"/>
    <xf numFmtId="0" fontId="0" fillId="0" borderId="7" xfId="0" applyBorder="1" applyAlignment="1">
      <alignment horizontal="center"/>
    </xf>
    <xf numFmtId="0" fontId="18" fillId="0" borderId="7" xfId="0" applyFont="1" applyBorder="1"/>
    <xf numFmtId="0" fontId="0" fillId="0" borderId="7" xfId="0" applyBorder="1" applyAlignment="1">
      <alignment vertical="center"/>
    </xf>
    <xf numFmtId="0" fontId="0" fillId="0" borderId="9" xfId="0" applyBorder="1"/>
    <xf numFmtId="0" fontId="0" fillId="0" borderId="7" xfId="0" applyBorder="1" applyAlignment="1">
      <alignment wrapText="1"/>
    </xf>
    <xf numFmtId="0" fontId="20" fillId="13" borderId="7" xfId="0" applyFont="1" applyFill="1" applyBorder="1" applyAlignment="1">
      <alignment horizontal="left" vertical="top" wrapText="1"/>
    </xf>
    <xf numFmtId="0" fontId="20" fillId="13" borderId="7" xfId="0" applyFont="1" applyFill="1" applyBorder="1" applyAlignment="1">
      <alignment horizontal="center" vertical="top" wrapText="1"/>
    </xf>
    <xf numFmtId="0" fontId="6" fillId="12" borderId="7" xfId="0" applyFont="1" applyFill="1" applyBorder="1" applyAlignment="1">
      <alignment vertical="top" wrapText="1"/>
    </xf>
    <xf numFmtId="0" fontId="6" fillId="12" borderId="7" xfId="0" applyFont="1" applyFill="1" applyBorder="1" applyAlignment="1">
      <alignment horizontal="center" vertical="top" wrapText="1"/>
    </xf>
    <xf numFmtId="0" fontId="8" fillId="0" borderId="10" xfId="0" applyFont="1" applyBorder="1" applyAlignment="1">
      <alignment vertical="top" wrapText="1"/>
    </xf>
    <xf numFmtId="0" fontId="3" fillId="14" borderId="7" xfId="0" applyFont="1" applyFill="1" applyBorder="1" applyAlignment="1">
      <alignment vertical="center" wrapText="1"/>
    </xf>
    <xf numFmtId="0" fontId="3" fillId="14" borderId="7" xfId="0" applyFont="1" applyFill="1" applyBorder="1" applyAlignment="1">
      <alignment horizontal="center" vertical="center" wrapText="1"/>
    </xf>
    <xf numFmtId="0" fontId="3" fillId="14" borderId="7" xfId="0" applyFont="1" applyFill="1" applyBorder="1" applyAlignment="1">
      <alignment horizontal="left" vertical="center" wrapText="1"/>
    </xf>
    <xf numFmtId="0" fontId="0" fillId="14" borderId="0" xfId="0" applyFill="1"/>
    <xf numFmtId="9" fontId="5" fillId="0" borderId="0" xfId="0" applyNumberFormat="1" applyFont="1" applyAlignment="1">
      <alignment horizontal="left" vertical="center" wrapText="1"/>
    </xf>
    <xf numFmtId="0" fontId="3" fillId="0" borderId="7" xfId="0" applyFont="1" applyBorder="1" applyAlignment="1">
      <alignment vertical="center"/>
    </xf>
    <xf numFmtId="0" fontId="22" fillId="9" borderId="7"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17" fillId="0" borderId="10" xfId="0" applyFont="1" applyBorder="1" applyAlignment="1">
      <alignment wrapText="1"/>
    </xf>
    <xf numFmtId="0" fontId="17" fillId="0" borderId="6" xfId="0" applyFont="1" applyBorder="1" applyAlignment="1">
      <alignment wrapText="1"/>
    </xf>
    <xf numFmtId="0" fontId="17" fillId="0" borderId="14" xfId="0" applyFont="1" applyBorder="1"/>
    <xf numFmtId="0" fontId="17" fillId="0" borderId="14" xfId="0" applyFont="1" applyBorder="1" applyAlignment="1">
      <alignment wrapText="1"/>
    </xf>
    <xf numFmtId="0" fontId="17" fillId="12" borderId="7" xfId="0" applyFont="1" applyFill="1" applyBorder="1" applyAlignment="1">
      <alignment horizontal="left" vertical="top"/>
    </xf>
    <xf numFmtId="0" fontId="0" fillId="0" borderId="7" xfId="0" applyBorder="1" applyAlignment="1">
      <alignment horizontal="left" vertical="top" wrapText="1"/>
    </xf>
    <xf numFmtId="0" fontId="17" fillId="12" borderId="7" xfId="0" applyFont="1" applyFill="1" applyBorder="1" applyAlignment="1">
      <alignment horizontal="center" vertical="top"/>
    </xf>
    <xf numFmtId="0" fontId="19" fillId="16" borderId="8" xfId="0" applyFont="1" applyFill="1" applyBorder="1" applyAlignment="1">
      <alignment horizontal="center" vertical="top" wrapText="1"/>
    </xf>
    <xf numFmtId="0" fontId="19" fillId="16" borderId="8" xfId="0" applyFont="1" applyFill="1" applyBorder="1" applyAlignment="1">
      <alignment horizontal="left" vertical="top" wrapText="1"/>
    </xf>
    <xf numFmtId="0" fontId="0" fillId="11" borderId="7" xfId="0" applyFill="1" applyBorder="1" applyAlignment="1">
      <alignment horizontal="left" vertical="top" wrapText="1"/>
    </xf>
    <xf numFmtId="0" fontId="19" fillId="16" borderId="8" xfId="0" applyFont="1" applyFill="1" applyBorder="1" applyAlignment="1">
      <alignment horizontal="center" vertical="center" wrapText="1"/>
    </xf>
    <xf numFmtId="0" fontId="0" fillId="11" borderId="0" xfId="0" applyFill="1"/>
    <xf numFmtId="0" fontId="0" fillId="11" borderId="7" xfId="0" applyFill="1" applyBorder="1" applyAlignment="1">
      <alignment horizontal="center" vertical="top" wrapText="1"/>
    </xf>
    <xf numFmtId="0" fontId="23" fillId="11" borderId="7" xfId="0" applyFont="1" applyFill="1" applyBorder="1" applyAlignment="1">
      <alignment vertical="top" wrapText="1"/>
    </xf>
    <xf numFmtId="0" fontId="23" fillId="11" borderId="12" xfId="0" applyFont="1" applyFill="1" applyBorder="1" applyAlignment="1">
      <alignment vertical="top" wrapText="1"/>
    </xf>
    <xf numFmtId="0" fontId="23" fillId="11" borderId="12" xfId="0" applyFont="1" applyFill="1" applyBorder="1" applyAlignment="1">
      <alignment horizontal="center" vertical="top" wrapText="1"/>
    </xf>
    <xf numFmtId="0" fontId="6" fillId="11" borderId="7" xfId="0" applyFont="1" applyFill="1" applyBorder="1" applyAlignment="1">
      <alignment vertical="top" wrapText="1"/>
    </xf>
    <xf numFmtId="0" fontId="21" fillId="18" borderId="18" xfId="0" applyFont="1" applyFill="1" applyBorder="1" applyAlignment="1">
      <alignment vertical="center"/>
    </xf>
    <xf numFmtId="0" fontId="21" fillId="18" borderId="19" xfId="0" applyFont="1" applyFill="1" applyBorder="1" applyAlignment="1">
      <alignment vertical="center" wrapText="1"/>
    </xf>
    <xf numFmtId="0" fontId="17" fillId="19" borderId="20" xfId="0" applyFont="1" applyFill="1" applyBorder="1" applyAlignment="1">
      <alignment vertical="center"/>
    </xf>
    <xf numFmtId="0" fontId="17" fillId="19" borderId="21" xfId="0" applyFont="1" applyFill="1" applyBorder="1" applyAlignment="1">
      <alignment vertical="center" wrapText="1"/>
    </xf>
    <xf numFmtId="0" fontId="24" fillId="16" borderId="0" xfId="0" applyFont="1" applyFill="1" applyAlignment="1">
      <alignment vertical="center" wrapText="1"/>
    </xf>
    <xf numFmtId="0" fontId="21" fillId="18" borderId="7" xfId="0" applyFont="1" applyFill="1" applyBorder="1" applyAlignment="1">
      <alignment vertical="center" wrapText="1"/>
    </xf>
    <xf numFmtId="0" fontId="17" fillId="19" borderId="7" xfId="0" applyFont="1" applyFill="1" applyBorder="1" applyAlignment="1">
      <alignment vertical="center" wrapText="1"/>
    </xf>
    <xf numFmtId="0" fontId="18" fillId="0" borderId="7" xfId="0" applyFont="1" applyBorder="1" applyAlignment="1">
      <alignment wrapText="1"/>
    </xf>
    <xf numFmtId="0" fontId="9" fillId="8" borderId="0" xfId="0" applyFont="1" applyFill="1" applyAlignment="1">
      <alignment horizontal="center"/>
    </xf>
    <xf numFmtId="0" fontId="9" fillId="8" borderId="4" xfId="0" applyFont="1" applyFill="1" applyBorder="1" applyAlignment="1">
      <alignment horizontal="center"/>
    </xf>
    <xf numFmtId="0" fontId="10" fillId="9" borderId="11" xfId="0" applyFont="1" applyFill="1" applyBorder="1" applyAlignment="1">
      <alignment horizontal="center"/>
    </xf>
    <xf numFmtId="0" fontId="10" fillId="9" borderId="6" xfId="0" applyFont="1" applyFill="1" applyBorder="1" applyAlignment="1">
      <alignment horizontal="center"/>
    </xf>
    <xf numFmtId="0" fontId="3" fillId="0" borderId="7" xfId="0" applyFont="1" applyBorder="1" applyAlignment="1">
      <alignment horizontal="left" vertical="center" wrapText="1"/>
    </xf>
    <xf numFmtId="0" fontId="11" fillId="0" borderId="7" xfId="0" applyFont="1" applyBorder="1" applyAlignment="1">
      <alignment horizontal="left" vertical="center" wrapText="1"/>
    </xf>
    <xf numFmtId="0" fontId="3" fillId="0" borderId="7" xfId="0" applyFont="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3" fillId="4" borderId="4" xfId="0" applyFont="1" applyFill="1" applyBorder="1" applyAlignment="1">
      <alignment horizontal="left" vertical="top" wrapText="1"/>
    </xf>
    <xf numFmtId="0" fontId="3" fillId="4" borderId="6" xfId="0" applyFont="1" applyFill="1" applyBorder="1" applyAlignment="1">
      <alignment horizontal="left" vertical="top" wrapText="1"/>
    </xf>
    <xf numFmtId="0" fontId="13" fillId="0" borderId="7" xfId="0" applyFont="1" applyBorder="1" applyAlignment="1">
      <alignment horizontal="right" vertical="center"/>
    </xf>
    <xf numFmtId="0" fontId="3" fillId="0" borderId="7" xfId="0" applyFont="1" applyBorder="1" applyAlignment="1">
      <alignment horizontal="left" vertical="top" wrapText="1"/>
    </xf>
    <xf numFmtId="0" fontId="4" fillId="2" borderId="7" xfId="0" applyFont="1" applyFill="1" applyBorder="1" applyAlignment="1">
      <alignment horizontal="left"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14" borderId="8" xfId="0" applyFont="1" applyFill="1" applyBorder="1" applyAlignment="1">
      <alignment horizontal="left" vertical="center" wrapText="1"/>
    </xf>
    <xf numFmtId="0" fontId="3" fillId="14" borderId="10" xfId="0" applyFont="1" applyFill="1" applyBorder="1" applyAlignment="1">
      <alignment horizontal="left" vertical="center" wrapText="1"/>
    </xf>
    <xf numFmtId="0" fontId="17" fillId="12" borderId="8" xfId="0" applyFont="1" applyFill="1" applyBorder="1" applyAlignment="1">
      <alignment horizontal="left" vertical="top" wrapText="1"/>
    </xf>
    <xf numFmtId="0" fontId="17" fillId="12" borderId="9" xfId="0" applyFont="1" applyFill="1" applyBorder="1" applyAlignment="1">
      <alignment horizontal="left" vertical="top" wrapText="1"/>
    </xf>
    <xf numFmtId="0" fontId="17" fillId="12" borderId="10" xfId="0" applyFont="1" applyFill="1" applyBorder="1" applyAlignment="1">
      <alignment horizontal="left" vertical="top"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19" fillId="16" borderId="8" xfId="0" applyFont="1" applyFill="1" applyBorder="1" applyAlignment="1">
      <alignment horizontal="center" vertical="top" wrapText="1"/>
    </xf>
    <xf numFmtId="0" fontId="19" fillId="16" borderId="9" xfId="0" applyFont="1" applyFill="1" applyBorder="1" applyAlignment="1">
      <alignment horizontal="center" vertical="top" wrapText="1"/>
    </xf>
    <xf numFmtId="0" fontId="19" fillId="16" borderId="10" xfId="0" applyFont="1" applyFill="1" applyBorder="1" applyAlignment="1">
      <alignment horizontal="center" vertical="top" wrapText="1"/>
    </xf>
    <xf numFmtId="0" fontId="19" fillId="16" borderId="8" xfId="0" applyFont="1" applyFill="1" applyBorder="1" applyAlignment="1">
      <alignment horizontal="center"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9" fillId="8" borderId="7" xfId="0" applyFont="1" applyFill="1" applyBorder="1" applyAlignment="1">
      <alignment horizontal="center" vertical="top"/>
    </xf>
    <xf numFmtId="0" fontId="10" fillId="9" borderId="7" xfId="0" applyFont="1" applyFill="1" applyBorder="1" applyAlignment="1">
      <alignment horizontal="center" vertical="top"/>
    </xf>
    <xf numFmtId="0" fontId="11" fillId="0" borderId="7"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0" fillId="0" borderId="7" xfId="0" applyBorder="1" applyAlignment="1">
      <alignment horizontal="center" vertical="center"/>
    </xf>
    <xf numFmtId="0" fontId="21" fillId="15" borderId="13" xfId="0" applyFont="1" applyFill="1" applyBorder="1" applyAlignment="1">
      <alignment horizontal="center" vertical="center"/>
    </xf>
    <xf numFmtId="0" fontId="21" fillId="15" borderId="12" xfId="0" applyFont="1" applyFill="1" applyBorder="1" applyAlignment="1">
      <alignment horizontal="center" vertical="center"/>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17" fillId="0" borderId="15" xfId="0" applyFont="1" applyBorder="1" applyAlignment="1">
      <alignment horizontal="center"/>
    </xf>
    <xf numFmtId="0" fontId="17" fillId="0" borderId="3" xfId="0" applyFont="1" applyBorder="1" applyAlignment="1">
      <alignment horizontal="center"/>
    </xf>
    <xf numFmtId="0" fontId="24" fillId="17" borderId="16" xfId="0" applyFont="1" applyFill="1" applyBorder="1" applyAlignment="1">
      <alignment horizontal="center" vertical="center" wrapText="1"/>
    </xf>
    <xf numFmtId="0" fontId="24" fillId="17" borderId="17" xfId="0" applyFont="1" applyFill="1" applyBorder="1" applyAlignment="1">
      <alignment horizontal="center" vertical="center" wrapText="1"/>
    </xf>
    <xf numFmtId="0" fontId="24" fillId="17" borderId="7" xfId="0" applyFont="1" applyFill="1"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7"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CAC25-2EFD-4834-A71A-8EC29F9C11D3}">
  <dimension ref="A1:B11"/>
  <sheetViews>
    <sheetView workbookViewId="0">
      <selection activeCell="A15" sqref="A15"/>
    </sheetView>
  </sheetViews>
  <sheetFormatPr defaultRowHeight="14.45"/>
  <cols>
    <col min="1" max="1" width="67.28515625" customWidth="1"/>
    <col min="2" max="2" width="54.85546875" customWidth="1"/>
  </cols>
  <sheetData>
    <row r="1" spans="1:2">
      <c r="A1" s="115" t="s">
        <v>0</v>
      </c>
      <c r="B1" s="116"/>
    </row>
    <row r="2" spans="1:2">
      <c r="A2" s="1" t="s">
        <v>1</v>
      </c>
      <c r="B2" s="2" t="s">
        <v>2</v>
      </c>
    </row>
    <row r="3" spans="1:2">
      <c r="A3" s="1"/>
      <c r="B3" s="2"/>
    </row>
    <row r="4" spans="1:2">
      <c r="A4" s="1" t="s">
        <v>3</v>
      </c>
      <c r="B4" s="2" t="s">
        <v>4</v>
      </c>
    </row>
    <row r="5" spans="1:2">
      <c r="A5" s="1"/>
      <c r="B5" s="2"/>
    </row>
    <row r="6" spans="1:2" ht="26.1">
      <c r="A6" s="1" t="s">
        <v>5</v>
      </c>
      <c r="B6" s="3" t="s">
        <v>6</v>
      </c>
    </row>
    <row r="7" spans="1:2">
      <c r="A7" s="1"/>
      <c r="B7" s="2"/>
    </row>
    <row r="8" spans="1:2">
      <c r="A8" s="1" t="s">
        <v>7</v>
      </c>
      <c r="B8" s="3" t="s">
        <v>8</v>
      </c>
    </row>
    <row r="9" spans="1:2">
      <c r="A9" s="1"/>
      <c r="B9" s="2"/>
    </row>
    <row r="10" spans="1:2">
      <c r="A10" s="4" t="s">
        <v>9</v>
      </c>
      <c r="B10" s="117" t="s">
        <v>10</v>
      </c>
    </row>
    <row r="11" spans="1:2" ht="14.25" customHeight="1">
      <c r="A11" s="5"/>
      <c r="B11" s="118"/>
    </row>
  </sheetData>
  <mergeCells count="2">
    <mergeCell ref="A1:B1"/>
    <mergeCell ref="B10:B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B95A-5DEC-441B-98E9-A717297A2A37}">
  <dimension ref="A1:B8"/>
  <sheetViews>
    <sheetView workbookViewId="0">
      <selection activeCell="B7" sqref="B7"/>
    </sheetView>
  </sheetViews>
  <sheetFormatPr defaultRowHeight="14.45"/>
  <cols>
    <col min="1" max="1" width="18.28515625" customWidth="1"/>
    <col min="2" max="2" width="121.28515625" customWidth="1"/>
  </cols>
  <sheetData>
    <row r="1" spans="1:2" s="22" customFormat="1" ht="19.5" customHeight="1">
      <c r="A1" s="43" t="s">
        <v>11</v>
      </c>
      <c r="B1" s="43" t="s">
        <v>12</v>
      </c>
    </row>
    <row r="2" spans="1:2">
      <c r="A2" s="119">
        <v>1</v>
      </c>
      <c r="B2" s="120" t="s">
        <v>13</v>
      </c>
    </row>
    <row r="3" spans="1:2">
      <c r="A3" s="119"/>
      <c r="B3" s="120"/>
    </row>
    <row r="4" spans="1:2">
      <c r="A4" s="119"/>
      <c r="B4" s="120"/>
    </row>
    <row r="5" spans="1:2" ht="206.25" customHeight="1">
      <c r="A5" s="119"/>
      <c r="B5" s="120"/>
    </row>
    <row r="6" spans="1:2" ht="312.60000000000002">
      <c r="A6" s="44">
        <v>2</v>
      </c>
      <c r="B6" s="36" t="s">
        <v>14</v>
      </c>
    </row>
    <row r="7" spans="1:2" ht="62.25" customHeight="1">
      <c r="A7" s="45" t="s">
        <v>15</v>
      </c>
      <c r="B7" s="35" t="s">
        <v>16</v>
      </c>
    </row>
    <row r="8" spans="1:2" ht="57.95">
      <c r="A8" s="66" t="s">
        <v>17</v>
      </c>
      <c r="B8" s="61" t="s">
        <v>18</v>
      </c>
    </row>
  </sheetData>
  <mergeCells count="2">
    <mergeCell ref="A2:A5"/>
    <mergeCell ref="B2:B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9710-B762-4465-895D-49DEAC9BE1E5}">
  <dimension ref="A1:M55"/>
  <sheetViews>
    <sheetView topLeftCell="A14" workbookViewId="0">
      <selection activeCell="D5" sqref="D5"/>
    </sheetView>
  </sheetViews>
  <sheetFormatPr defaultRowHeight="14.45"/>
  <cols>
    <col min="1" max="1" width="16.28515625" style="18" bestFit="1" customWidth="1"/>
    <col min="2" max="2" width="16.7109375" style="7" customWidth="1"/>
    <col min="3" max="3" width="46.85546875" customWidth="1"/>
    <col min="4" max="4" width="14.5703125" customWidth="1"/>
    <col min="5" max="5" width="9" style="22" bestFit="1" customWidth="1"/>
    <col min="6" max="7" width="15.7109375" bestFit="1" customWidth="1"/>
    <col min="8" max="8" width="15.7109375" customWidth="1"/>
    <col min="9" max="9" width="14" style="22" bestFit="1" customWidth="1"/>
    <col min="10" max="10" width="12.5703125" style="18" customWidth="1"/>
    <col min="12" max="12" width="10" bestFit="1" customWidth="1"/>
  </cols>
  <sheetData>
    <row r="1" spans="1:11" s="7" customFormat="1" ht="39">
      <c r="A1" s="6" t="s">
        <v>11</v>
      </c>
      <c r="B1" s="6" t="s">
        <v>19</v>
      </c>
      <c r="C1" s="6" t="s">
        <v>20</v>
      </c>
      <c r="D1" s="23" t="s">
        <v>21</v>
      </c>
      <c r="E1" s="21" t="s">
        <v>22</v>
      </c>
      <c r="F1" s="6" t="s">
        <v>23</v>
      </c>
      <c r="G1" s="6" t="s">
        <v>24</v>
      </c>
      <c r="H1" s="6" t="s">
        <v>25</v>
      </c>
      <c r="I1" s="21" t="s">
        <v>26</v>
      </c>
      <c r="J1" s="21" t="s">
        <v>27</v>
      </c>
    </row>
    <row r="2" spans="1:11" s="11" customFormat="1" ht="23.25" customHeight="1">
      <c r="A2" s="130">
        <v>1</v>
      </c>
      <c r="B2" s="8" t="s">
        <v>28</v>
      </c>
      <c r="C2" s="9" t="s">
        <v>28</v>
      </c>
      <c r="D2" s="77" t="s">
        <v>29</v>
      </c>
      <c r="E2" s="10">
        <v>9</v>
      </c>
      <c r="F2" s="8" t="s">
        <v>30</v>
      </c>
      <c r="G2" s="8"/>
      <c r="H2" s="130" t="s">
        <v>31</v>
      </c>
      <c r="I2" s="130">
        <f>SUM(E2:E19)</f>
        <v>141</v>
      </c>
      <c r="J2" s="130">
        <f>ROUND(I2/45,2)</f>
        <v>3.13</v>
      </c>
    </row>
    <row r="3" spans="1:11" s="11" customFormat="1" ht="12.75" customHeight="1">
      <c r="A3" s="131"/>
      <c r="B3" s="8" t="s">
        <v>32</v>
      </c>
      <c r="C3" s="9" t="s">
        <v>33</v>
      </c>
      <c r="D3" s="9" t="s">
        <v>34</v>
      </c>
      <c r="E3" s="10">
        <v>9</v>
      </c>
      <c r="F3" s="8" t="s">
        <v>30</v>
      </c>
      <c r="G3" s="8"/>
      <c r="H3" s="131"/>
      <c r="I3" s="131"/>
      <c r="J3" s="131"/>
      <c r="K3" s="76"/>
    </row>
    <row r="4" spans="1:11" s="11" customFormat="1" ht="12.75" customHeight="1">
      <c r="A4" s="131"/>
      <c r="B4" s="122" t="s">
        <v>35</v>
      </c>
      <c r="C4" s="9" t="s">
        <v>36</v>
      </c>
      <c r="D4" s="9" t="s">
        <v>34</v>
      </c>
      <c r="E4" s="130">
        <v>20</v>
      </c>
      <c r="F4" s="8" t="s">
        <v>37</v>
      </c>
      <c r="G4" s="8"/>
      <c r="H4" s="131"/>
      <c r="I4" s="131"/>
      <c r="J4" s="131"/>
    </row>
    <row r="5" spans="1:11" s="11" customFormat="1" ht="12.75" customHeight="1">
      <c r="A5" s="131"/>
      <c r="B5" s="123"/>
      <c r="C5" s="9" t="s">
        <v>38</v>
      </c>
      <c r="D5" s="9" t="s">
        <v>39</v>
      </c>
      <c r="E5" s="131"/>
      <c r="F5" s="8" t="s">
        <v>37</v>
      </c>
      <c r="G5" s="8"/>
      <c r="H5" s="131"/>
      <c r="I5" s="131"/>
      <c r="J5" s="131"/>
    </row>
    <row r="6" spans="1:11" s="11" customFormat="1" ht="12.75" customHeight="1">
      <c r="A6" s="131"/>
      <c r="B6" s="123"/>
      <c r="C6" s="9" t="s">
        <v>40</v>
      </c>
      <c r="D6" s="9" t="s">
        <v>34</v>
      </c>
      <c r="E6" s="131"/>
      <c r="F6" s="8" t="s">
        <v>37</v>
      </c>
      <c r="G6" s="8"/>
      <c r="H6" s="131"/>
      <c r="I6" s="131"/>
      <c r="J6" s="131"/>
    </row>
    <row r="7" spans="1:11" s="11" customFormat="1" ht="12.75" customHeight="1">
      <c r="A7" s="131"/>
      <c r="B7" s="123"/>
      <c r="C7" s="9" t="s">
        <v>41</v>
      </c>
      <c r="D7" s="9" t="s">
        <v>39</v>
      </c>
      <c r="E7" s="131"/>
      <c r="F7" s="8" t="s">
        <v>37</v>
      </c>
      <c r="G7" s="8"/>
      <c r="H7" s="139" t="s">
        <v>42</v>
      </c>
      <c r="I7" s="131"/>
      <c r="J7" s="131"/>
    </row>
    <row r="8" spans="1:11" s="11" customFormat="1" ht="12.75" customHeight="1">
      <c r="A8" s="131"/>
      <c r="B8" s="124"/>
      <c r="C8" s="9" t="s">
        <v>43</v>
      </c>
      <c r="D8" s="9" t="s">
        <v>39</v>
      </c>
      <c r="E8" s="132"/>
      <c r="F8" s="8"/>
      <c r="G8" s="8"/>
      <c r="H8" s="140"/>
      <c r="I8" s="131"/>
      <c r="J8" s="131"/>
    </row>
    <row r="9" spans="1:11" ht="25.5" customHeight="1">
      <c r="A9" s="131"/>
      <c r="B9" s="112" t="s">
        <v>44</v>
      </c>
      <c r="C9" s="9" t="s">
        <v>45</v>
      </c>
      <c r="D9" s="9" t="s">
        <v>34</v>
      </c>
      <c r="E9" s="130">
        <v>10</v>
      </c>
      <c r="F9" s="8" t="s">
        <v>37</v>
      </c>
      <c r="G9" s="8"/>
      <c r="H9" s="140"/>
      <c r="I9" s="131"/>
      <c r="J9" s="131"/>
    </row>
    <row r="10" spans="1:11">
      <c r="A10" s="131"/>
      <c r="B10" s="112"/>
      <c r="C10" s="9" t="s">
        <v>46</v>
      </c>
      <c r="D10" s="9" t="s">
        <v>39</v>
      </c>
      <c r="E10" s="131"/>
      <c r="F10" s="8" t="s">
        <v>37</v>
      </c>
      <c r="G10" s="8"/>
      <c r="H10" s="140"/>
      <c r="I10" s="131"/>
      <c r="J10" s="131"/>
    </row>
    <row r="11" spans="1:11">
      <c r="A11" s="131"/>
      <c r="B11" s="112"/>
      <c r="C11" s="9" t="s">
        <v>47</v>
      </c>
      <c r="D11" s="9" t="s">
        <v>39</v>
      </c>
      <c r="E11" s="132"/>
      <c r="F11" s="8" t="s">
        <v>37</v>
      </c>
      <c r="G11" s="8"/>
      <c r="H11" s="140"/>
      <c r="I11" s="131"/>
      <c r="J11" s="131"/>
    </row>
    <row r="12" spans="1:11">
      <c r="A12" s="131"/>
      <c r="B12" s="12" t="s">
        <v>48</v>
      </c>
      <c r="C12" s="12" t="s">
        <v>49</v>
      </c>
      <c r="D12" s="13" t="s">
        <v>50</v>
      </c>
      <c r="E12" s="14">
        <v>4</v>
      </c>
      <c r="F12" s="12"/>
      <c r="G12" s="12"/>
      <c r="H12" s="141"/>
      <c r="I12" s="131"/>
      <c r="J12" s="131"/>
    </row>
    <row r="13" spans="1:11" ht="24.95" customHeight="1">
      <c r="A13" s="131"/>
      <c r="B13" s="122" t="s">
        <v>51</v>
      </c>
      <c r="C13" s="9" t="s">
        <v>52</v>
      </c>
      <c r="D13" s="9" t="s">
        <v>34</v>
      </c>
      <c r="E13" s="130">
        <v>15</v>
      </c>
      <c r="F13" s="8" t="s">
        <v>37</v>
      </c>
      <c r="G13" s="8"/>
      <c r="H13" s="131" t="s">
        <v>53</v>
      </c>
      <c r="I13" s="131"/>
      <c r="J13" s="131"/>
    </row>
    <row r="14" spans="1:11">
      <c r="A14" s="131"/>
      <c r="B14" s="123"/>
      <c r="C14" s="9" t="s">
        <v>54</v>
      </c>
      <c r="D14" s="9" t="s">
        <v>39</v>
      </c>
      <c r="E14" s="131"/>
      <c r="F14" s="8" t="s">
        <v>37</v>
      </c>
      <c r="G14" s="8"/>
      <c r="H14" s="131"/>
      <c r="I14" s="131"/>
      <c r="J14" s="131"/>
    </row>
    <row r="15" spans="1:11">
      <c r="A15" s="131"/>
      <c r="B15" s="124"/>
      <c r="C15" s="9" t="s">
        <v>55</v>
      </c>
      <c r="D15" s="9" t="s">
        <v>39</v>
      </c>
      <c r="E15" s="132"/>
      <c r="F15" s="8" t="s">
        <v>37</v>
      </c>
      <c r="G15" s="8"/>
      <c r="H15" s="131"/>
      <c r="I15" s="131"/>
      <c r="J15" s="131"/>
    </row>
    <row r="16" spans="1:11">
      <c r="A16" s="131"/>
      <c r="B16" s="125" t="s">
        <v>56</v>
      </c>
      <c r="C16" s="72" t="s">
        <v>57</v>
      </c>
      <c r="D16" s="72" t="s">
        <v>34</v>
      </c>
      <c r="E16" s="73">
        <v>10</v>
      </c>
      <c r="F16" s="74" t="s">
        <v>37</v>
      </c>
      <c r="G16" s="74"/>
      <c r="H16" s="131"/>
      <c r="I16" s="131"/>
      <c r="J16" s="131"/>
    </row>
    <row r="17" spans="1:10">
      <c r="A17" s="131"/>
      <c r="B17" s="126"/>
      <c r="C17" s="75" t="s">
        <v>58</v>
      </c>
      <c r="D17" s="72" t="s">
        <v>34</v>
      </c>
      <c r="E17" s="73">
        <v>55</v>
      </c>
      <c r="F17" s="74" t="s">
        <v>37</v>
      </c>
      <c r="G17" s="74"/>
      <c r="H17" s="131"/>
      <c r="I17" s="131"/>
      <c r="J17" s="131"/>
    </row>
    <row r="18" spans="1:10">
      <c r="A18" s="131"/>
      <c r="B18" s="67" t="s">
        <v>59</v>
      </c>
      <c r="C18" s="67" t="s">
        <v>60</v>
      </c>
      <c r="D18" s="67" t="s">
        <v>61</v>
      </c>
      <c r="E18" s="68"/>
      <c r="F18" s="67"/>
      <c r="G18" s="67" t="s">
        <v>37</v>
      </c>
      <c r="H18" s="131"/>
      <c r="I18" s="131"/>
      <c r="J18" s="131"/>
    </row>
    <row r="19" spans="1:10">
      <c r="A19" s="132"/>
      <c r="B19" s="12" t="s">
        <v>48</v>
      </c>
      <c r="C19" s="13" t="s">
        <v>62</v>
      </c>
      <c r="D19" s="13" t="s">
        <v>50</v>
      </c>
      <c r="E19" s="14">
        <v>9</v>
      </c>
      <c r="F19" s="12"/>
      <c r="G19" s="12"/>
      <c r="H19" s="131"/>
      <c r="I19" s="132"/>
      <c r="J19" s="132"/>
    </row>
    <row r="20" spans="1:10" ht="14.45" customHeight="1">
      <c r="A20" s="130">
        <v>2</v>
      </c>
      <c r="B20" s="122" t="s">
        <v>63</v>
      </c>
      <c r="C20" s="9" t="s">
        <v>64</v>
      </c>
      <c r="D20" s="9" t="s">
        <v>34</v>
      </c>
      <c r="E20" s="10">
        <v>10</v>
      </c>
      <c r="F20" s="8" t="s">
        <v>37</v>
      </c>
      <c r="G20" s="8"/>
      <c r="H20" s="139" t="s">
        <v>65</v>
      </c>
      <c r="I20" s="130">
        <f>SUM(E20:E47)</f>
        <v>310.2</v>
      </c>
      <c r="J20" s="130">
        <f>ROUND(I20/45,2)</f>
        <v>6.89</v>
      </c>
    </row>
    <row r="21" spans="1:10">
      <c r="A21" s="131"/>
      <c r="B21" s="123"/>
      <c r="C21" s="9" t="s">
        <v>66</v>
      </c>
      <c r="D21" s="9" t="s">
        <v>39</v>
      </c>
      <c r="E21" s="10">
        <v>24</v>
      </c>
      <c r="F21" s="8" t="s">
        <v>37</v>
      </c>
      <c r="G21" s="8"/>
      <c r="H21" s="140"/>
      <c r="I21" s="131"/>
      <c r="J21" s="131"/>
    </row>
    <row r="22" spans="1:10">
      <c r="A22" s="131"/>
      <c r="B22" s="124"/>
      <c r="C22" s="8" t="s">
        <v>67</v>
      </c>
      <c r="D22" s="9" t="s">
        <v>39</v>
      </c>
      <c r="E22" s="10">
        <v>2</v>
      </c>
      <c r="F22" s="8" t="s">
        <v>37</v>
      </c>
      <c r="G22" s="8"/>
      <c r="H22" s="140"/>
      <c r="I22" s="131"/>
      <c r="J22" s="131"/>
    </row>
    <row r="23" spans="1:10" ht="24.95" customHeight="1">
      <c r="A23" s="131"/>
      <c r="B23" s="122" t="s">
        <v>68</v>
      </c>
      <c r="C23" s="9" t="s">
        <v>69</v>
      </c>
      <c r="D23" s="9" t="s">
        <v>34</v>
      </c>
      <c r="E23" s="10">
        <v>8</v>
      </c>
      <c r="F23" s="8" t="s">
        <v>37</v>
      </c>
      <c r="G23" s="8"/>
      <c r="H23" s="140"/>
      <c r="I23" s="131"/>
      <c r="J23" s="131"/>
    </row>
    <row r="24" spans="1:10">
      <c r="A24" s="131"/>
      <c r="B24" s="123"/>
      <c r="C24" s="9" t="s">
        <v>70</v>
      </c>
      <c r="D24" s="9" t="s">
        <v>39</v>
      </c>
      <c r="E24" s="10">
        <v>8</v>
      </c>
      <c r="F24" s="8" t="s">
        <v>37</v>
      </c>
      <c r="G24" s="8"/>
      <c r="H24" s="140"/>
      <c r="I24" s="131"/>
      <c r="J24" s="131"/>
    </row>
    <row r="25" spans="1:10">
      <c r="A25" s="131"/>
      <c r="B25" s="124"/>
      <c r="C25" s="9" t="s">
        <v>71</v>
      </c>
      <c r="D25" s="9" t="s">
        <v>39</v>
      </c>
      <c r="E25" s="10">
        <v>2</v>
      </c>
      <c r="F25" s="8" t="s">
        <v>37</v>
      </c>
      <c r="G25" s="8"/>
      <c r="H25" s="140"/>
      <c r="I25" s="131"/>
      <c r="J25" s="131"/>
    </row>
    <row r="26" spans="1:10">
      <c r="A26" s="131"/>
      <c r="B26" s="12" t="s">
        <v>72</v>
      </c>
      <c r="C26" s="12" t="s">
        <v>73</v>
      </c>
      <c r="D26" s="13" t="s">
        <v>50</v>
      </c>
      <c r="E26" s="14">
        <v>18</v>
      </c>
      <c r="F26" s="12" t="s">
        <v>37</v>
      </c>
      <c r="G26" s="12"/>
      <c r="H26" s="140"/>
      <c r="I26" s="131"/>
      <c r="J26" s="131"/>
    </row>
    <row r="27" spans="1:10" ht="24.95">
      <c r="A27" s="131"/>
      <c r="B27" s="12" t="s">
        <v>74</v>
      </c>
      <c r="C27" s="12" t="s">
        <v>75</v>
      </c>
      <c r="D27" s="13" t="s">
        <v>50</v>
      </c>
      <c r="E27" s="14">
        <v>18</v>
      </c>
      <c r="F27" s="12" t="s">
        <v>37</v>
      </c>
      <c r="G27" s="12"/>
      <c r="H27" s="140"/>
      <c r="I27" s="131"/>
      <c r="J27" s="131"/>
    </row>
    <row r="28" spans="1:10" ht="14.45" customHeight="1">
      <c r="A28" s="131"/>
      <c r="B28" s="122" t="s">
        <v>76</v>
      </c>
      <c r="C28" s="9" t="s">
        <v>77</v>
      </c>
      <c r="D28" s="9" t="s">
        <v>34</v>
      </c>
      <c r="E28" s="10">
        <v>4</v>
      </c>
      <c r="F28" s="8"/>
      <c r="G28" s="8"/>
      <c r="H28" s="131" t="s">
        <v>78</v>
      </c>
      <c r="I28" s="131"/>
      <c r="J28" s="131"/>
    </row>
    <row r="29" spans="1:10" ht="14.45" customHeight="1">
      <c r="A29" s="131"/>
      <c r="B29" s="123"/>
      <c r="C29" s="9" t="s">
        <v>79</v>
      </c>
      <c r="D29" s="9" t="s">
        <v>34</v>
      </c>
      <c r="E29" s="10">
        <v>9</v>
      </c>
      <c r="F29" s="8"/>
      <c r="G29" s="8"/>
      <c r="H29" s="131"/>
      <c r="I29" s="131"/>
      <c r="J29" s="131"/>
    </row>
    <row r="30" spans="1:10">
      <c r="A30" s="131"/>
      <c r="B30" s="123"/>
      <c r="C30" s="9" t="s">
        <v>80</v>
      </c>
      <c r="D30" s="9" t="s">
        <v>39</v>
      </c>
      <c r="E30" s="10">
        <v>9</v>
      </c>
      <c r="F30" s="8"/>
      <c r="G30" s="8"/>
      <c r="H30" s="131"/>
      <c r="I30" s="131"/>
      <c r="J30" s="131"/>
    </row>
    <row r="31" spans="1:10">
      <c r="A31" s="131"/>
      <c r="B31" s="124"/>
      <c r="C31" s="9" t="s">
        <v>81</v>
      </c>
      <c r="D31" s="9" t="s">
        <v>39</v>
      </c>
      <c r="E31" s="10">
        <v>2</v>
      </c>
      <c r="F31" s="8"/>
      <c r="G31" s="8"/>
      <c r="H31" s="131"/>
      <c r="I31" s="131"/>
      <c r="J31" s="131"/>
    </row>
    <row r="32" spans="1:10">
      <c r="A32" s="131"/>
      <c r="B32" s="69" t="s">
        <v>82</v>
      </c>
      <c r="C32" s="69" t="s">
        <v>83</v>
      </c>
      <c r="D32" s="69" t="s">
        <v>61</v>
      </c>
      <c r="E32" s="70">
        <v>18</v>
      </c>
      <c r="F32" s="69"/>
      <c r="G32" s="69"/>
      <c r="H32" s="131"/>
      <c r="I32" s="131"/>
      <c r="J32" s="131"/>
    </row>
    <row r="33" spans="1:13">
      <c r="A33" s="131"/>
      <c r="B33" s="20" t="s">
        <v>84</v>
      </c>
      <c r="C33" s="9" t="s">
        <v>85</v>
      </c>
      <c r="D33" s="9" t="s">
        <v>86</v>
      </c>
      <c r="E33" s="10">
        <v>13.5</v>
      </c>
      <c r="F33" s="8"/>
      <c r="G33" s="8"/>
      <c r="H33" s="131"/>
      <c r="I33" s="131"/>
      <c r="J33" s="131"/>
    </row>
    <row r="34" spans="1:13">
      <c r="A34" s="131"/>
      <c r="B34" s="122" t="s">
        <v>87</v>
      </c>
      <c r="C34" s="9" t="s">
        <v>88</v>
      </c>
      <c r="D34" s="9" t="s">
        <v>89</v>
      </c>
      <c r="E34" s="10">
        <v>8</v>
      </c>
      <c r="F34" s="8"/>
      <c r="G34" s="8"/>
      <c r="H34" s="131"/>
      <c r="I34" s="131"/>
      <c r="J34" s="131"/>
    </row>
    <row r="35" spans="1:13">
      <c r="A35" s="131"/>
      <c r="B35" s="124"/>
      <c r="C35" s="9" t="s">
        <v>39</v>
      </c>
      <c r="D35" s="9" t="s">
        <v>39</v>
      </c>
      <c r="E35" s="10">
        <v>8</v>
      </c>
      <c r="F35" s="8"/>
      <c r="G35" s="8"/>
      <c r="H35" s="131"/>
      <c r="I35" s="131"/>
      <c r="J35" s="131"/>
    </row>
    <row r="36" spans="1:13">
      <c r="A36" s="131"/>
      <c r="B36" s="20" t="s">
        <v>90</v>
      </c>
      <c r="C36" s="9" t="s">
        <v>91</v>
      </c>
      <c r="D36" s="9" t="s">
        <v>89</v>
      </c>
      <c r="E36" s="10">
        <v>8</v>
      </c>
      <c r="F36" s="8"/>
      <c r="G36" s="8"/>
      <c r="H36" s="131"/>
      <c r="I36" s="131"/>
      <c r="J36" s="131"/>
    </row>
    <row r="37" spans="1:13">
      <c r="A37" s="131"/>
      <c r="B37" s="122" t="s">
        <v>92</v>
      </c>
      <c r="C37" s="9" t="s">
        <v>92</v>
      </c>
      <c r="D37" s="9" t="s">
        <v>34</v>
      </c>
      <c r="E37" s="10">
        <v>12</v>
      </c>
      <c r="F37" s="8"/>
      <c r="G37" s="8"/>
      <c r="H37" s="131"/>
      <c r="I37" s="131"/>
      <c r="J37" s="131"/>
    </row>
    <row r="38" spans="1:13">
      <c r="A38" s="131"/>
      <c r="B38" s="123"/>
      <c r="C38" s="9" t="s">
        <v>93</v>
      </c>
      <c r="D38" s="9" t="s">
        <v>39</v>
      </c>
      <c r="E38" s="10">
        <v>12</v>
      </c>
      <c r="F38" s="8"/>
      <c r="G38" s="8"/>
      <c r="H38" s="131"/>
      <c r="I38" s="131"/>
      <c r="J38" s="131"/>
    </row>
    <row r="39" spans="1:13">
      <c r="A39" s="131"/>
      <c r="B39" s="124"/>
      <c r="C39" s="9" t="s">
        <v>94</v>
      </c>
      <c r="D39" s="9" t="s">
        <v>39</v>
      </c>
      <c r="E39" s="10">
        <v>2</v>
      </c>
      <c r="F39" s="8"/>
      <c r="G39" s="8"/>
      <c r="H39" s="131"/>
      <c r="I39" s="131"/>
      <c r="J39" s="131"/>
    </row>
    <row r="40" spans="1:13">
      <c r="A40" s="131"/>
      <c r="B40" s="12" t="s">
        <v>95</v>
      </c>
      <c r="C40" s="12" t="s">
        <v>96</v>
      </c>
      <c r="D40" s="13" t="s">
        <v>50</v>
      </c>
      <c r="E40" s="14">
        <v>25</v>
      </c>
      <c r="F40" s="12"/>
      <c r="G40" s="12"/>
      <c r="H40" s="131"/>
      <c r="I40" s="131"/>
      <c r="J40" s="131"/>
    </row>
    <row r="41" spans="1:13" ht="24.95">
      <c r="A41" s="131"/>
      <c r="B41" s="12" t="s">
        <v>97</v>
      </c>
      <c r="C41" s="12" t="s">
        <v>98</v>
      </c>
      <c r="D41" s="13" t="s">
        <v>50</v>
      </c>
      <c r="E41" s="14">
        <v>9</v>
      </c>
      <c r="F41" s="12"/>
      <c r="G41" s="12"/>
      <c r="H41" s="131"/>
      <c r="I41" s="131"/>
      <c r="J41" s="131"/>
    </row>
    <row r="42" spans="1:13" ht="14.45" customHeight="1">
      <c r="A42" s="131"/>
      <c r="B42" s="125" t="s">
        <v>99</v>
      </c>
      <c r="C42" s="74" t="s">
        <v>100</v>
      </c>
      <c r="D42" s="72" t="s">
        <v>34</v>
      </c>
      <c r="E42" s="73">
        <v>19</v>
      </c>
      <c r="F42" s="74" t="s">
        <v>30</v>
      </c>
      <c r="G42" s="74"/>
      <c r="H42" s="131"/>
      <c r="I42" s="131"/>
      <c r="J42" s="131"/>
    </row>
    <row r="43" spans="1:13" ht="14.45" customHeight="1">
      <c r="A43" s="131"/>
      <c r="B43" s="126"/>
      <c r="C43" s="74" t="s">
        <v>101</v>
      </c>
      <c r="D43" s="72" t="s">
        <v>34</v>
      </c>
      <c r="E43" s="73">
        <v>12.7</v>
      </c>
      <c r="F43" s="74" t="s">
        <v>37</v>
      </c>
      <c r="G43" s="74"/>
      <c r="H43" s="131"/>
      <c r="I43" s="131"/>
      <c r="J43" s="131"/>
    </row>
    <row r="44" spans="1:13" ht="24.95">
      <c r="A44" s="131"/>
      <c r="B44" s="20" t="s">
        <v>102</v>
      </c>
      <c r="C44" s="9" t="s">
        <v>103</v>
      </c>
      <c r="D44" s="9" t="s">
        <v>86</v>
      </c>
      <c r="E44" s="10">
        <v>6</v>
      </c>
      <c r="F44" s="8" t="s">
        <v>30</v>
      </c>
      <c r="G44" s="8"/>
      <c r="H44" s="131"/>
      <c r="I44" s="131"/>
      <c r="J44" s="131"/>
    </row>
    <row r="45" spans="1:13" ht="24.95">
      <c r="A45" s="131"/>
      <c r="B45" s="20" t="s">
        <v>104</v>
      </c>
      <c r="C45" s="9" t="s">
        <v>105</v>
      </c>
      <c r="D45" s="9" t="s">
        <v>86</v>
      </c>
      <c r="E45" s="10">
        <v>12</v>
      </c>
      <c r="F45" s="8" t="s">
        <v>30</v>
      </c>
      <c r="G45" s="8"/>
      <c r="H45" s="131"/>
      <c r="I45" s="131"/>
      <c r="J45" s="131"/>
    </row>
    <row r="46" spans="1:13" ht="26.25" customHeight="1">
      <c r="A46" s="131"/>
      <c r="B46" s="20" t="s">
        <v>106</v>
      </c>
      <c r="C46" s="9" t="s">
        <v>107</v>
      </c>
      <c r="D46" s="9" t="s">
        <v>86</v>
      </c>
      <c r="E46" s="10">
        <v>4</v>
      </c>
      <c r="F46" s="8" t="s">
        <v>30</v>
      </c>
      <c r="G46" s="8"/>
      <c r="H46" s="131"/>
      <c r="I46" s="131"/>
      <c r="J46" s="131"/>
    </row>
    <row r="47" spans="1:13" s="11" customFormat="1" ht="12.95">
      <c r="A47" s="132"/>
      <c r="B47" s="69" t="s">
        <v>108</v>
      </c>
      <c r="C47" s="69" t="s">
        <v>109</v>
      </c>
      <c r="D47" s="69" t="s">
        <v>61</v>
      </c>
      <c r="E47" s="70">
        <v>27</v>
      </c>
      <c r="F47" s="69" t="s">
        <v>37</v>
      </c>
      <c r="G47" s="99" t="s">
        <v>37</v>
      </c>
      <c r="H47" s="71"/>
      <c r="I47" s="132"/>
      <c r="J47" s="132"/>
    </row>
    <row r="48" spans="1:13" s="16" customFormat="1" ht="15" customHeight="1">
      <c r="A48" s="133" t="s">
        <v>110</v>
      </c>
      <c r="B48" s="91" t="s">
        <v>111</v>
      </c>
      <c r="C48" s="92" t="s">
        <v>112</v>
      </c>
      <c r="D48" s="91" t="s">
        <v>113</v>
      </c>
      <c r="E48" s="90">
        <v>39</v>
      </c>
      <c r="F48" s="91"/>
      <c r="G48" s="91"/>
      <c r="H48" s="91"/>
      <c r="I48" s="90">
        <f>SUM(E48:E48)</f>
        <v>39</v>
      </c>
      <c r="J48" s="93">
        <f>ROUND(I48/9/5,2)</f>
        <v>0.87</v>
      </c>
      <c r="K48" s="94"/>
      <c r="L48"/>
      <c r="M48"/>
    </row>
    <row r="49" spans="1:13" s="16" customFormat="1" ht="15" customHeight="1">
      <c r="A49" s="134"/>
      <c r="B49" s="92" t="s">
        <v>114</v>
      </c>
      <c r="C49" s="92" t="s">
        <v>115</v>
      </c>
      <c r="D49" s="92" t="s">
        <v>29</v>
      </c>
      <c r="E49" s="95">
        <v>5</v>
      </c>
      <c r="F49" s="91"/>
      <c r="G49" s="91"/>
      <c r="H49" s="91"/>
      <c r="I49" s="90">
        <v>5</v>
      </c>
      <c r="J49" s="136">
        <f>ROUND(SUM(I49:I53)/45,2)</f>
        <v>0.53</v>
      </c>
      <c r="K49" s="94"/>
      <c r="L49"/>
      <c r="M49"/>
    </row>
    <row r="50" spans="1:13" s="16" customFormat="1" ht="15" customHeight="1">
      <c r="A50" s="134"/>
      <c r="B50" s="96" t="s">
        <v>116</v>
      </c>
      <c r="C50" s="97" t="s">
        <v>117</v>
      </c>
      <c r="D50" s="97" t="s">
        <v>118</v>
      </c>
      <c r="E50" s="98">
        <v>1</v>
      </c>
      <c r="F50" s="91"/>
      <c r="G50" s="91"/>
      <c r="H50" s="91"/>
      <c r="I50" s="90">
        <f>E50</f>
        <v>1</v>
      </c>
      <c r="J50" s="137"/>
      <c r="K50" s="94"/>
      <c r="L50"/>
      <c r="M50"/>
    </row>
    <row r="51" spans="1:13" s="16" customFormat="1" ht="15" customHeight="1">
      <c r="A51" s="134"/>
      <c r="B51" s="127" t="s">
        <v>119</v>
      </c>
      <c r="C51" s="127" t="s">
        <v>120</v>
      </c>
      <c r="D51" s="87" t="s">
        <v>121</v>
      </c>
      <c r="E51" s="89">
        <v>4</v>
      </c>
      <c r="F51" s="87"/>
      <c r="G51" s="91"/>
      <c r="H51" s="91"/>
      <c r="I51" s="90">
        <f>E51</f>
        <v>4</v>
      </c>
      <c r="J51" s="137"/>
      <c r="K51"/>
      <c r="L51"/>
      <c r="M51"/>
    </row>
    <row r="52" spans="1:13" s="16" customFormat="1" ht="15" customHeight="1">
      <c r="A52" s="134"/>
      <c r="B52" s="128"/>
      <c r="C52" s="128"/>
      <c r="D52" s="87" t="s">
        <v>122</v>
      </c>
      <c r="E52" s="89">
        <v>2</v>
      </c>
      <c r="F52" s="87" t="s">
        <v>37</v>
      </c>
      <c r="G52" s="91"/>
      <c r="H52" s="91"/>
      <c r="I52" s="90">
        <f>E52</f>
        <v>2</v>
      </c>
      <c r="J52" s="137"/>
      <c r="K52"/>
      <c r="L52"/>
      <c r="M52"/>
    </row>
    <row r="53" spans="1:13" s="16" customFormat="1" ht="15" customHeight="1">
      <c r="A53" s="134"/>
      <c r="B53" s="129"/>
      <c r="C53" s="129"/>
      <c r="D53" s="87" t="s">
        <v>123</v>
      </c>
      <c r="E53" s="89">
        <v>12</v>
      </c>
      <c r="F53" s="87" t="s">
        <v>37</v>
      </c>
      <c r="G53" s="91"/>
      <c r="H53" s="91"/>
      <c r="I53" s="90">
        <f>E53</f>
        <v>12</v>
      </c>
      <c r="J53" s="138"/>
      <c r="K53"/>
      <c r="L53"/>
      <c r="M53"/>
    </row>
    <row r="54" spans="1:13" s="16" customFormat="1" ht="38.1" customHeight="1">
      <c r="A54" s="135"/>
      <c r="B54" s="91" t="s">
        <v>124</v>
      </c>
      <c r="C54" s="88" t="s">
        <v>125</v>
      </c>
      <c r="D54" s="91" t="s">
        <v>113</v>
      </c>
      <c r="E54" s="90">
        <v>12</v>
      </c>
      <c r="F54" s="91"/>
      <c r="G54" s="91"/>
      <c r="H54" s="91"/>
      <c r="I54" s="90">
        <v>12</v>
      </c>
      <c r="J54" s="93">
        <f>ROUND(I54/9/5,2)</f>
        <v>0.27</v>
      </c>
      <c r="K54"/>
      <c r="L54"/>
      <c r="M54"/>
    </row>
    <row r="55" spans="1:13" ht="42.75" customHeight="1">
      <c r="A55" s="121" t="s">
        <v>126</v>
      </c>
      <c r="B55" s="121"/>
      <c r="C55" s="121"/>
      <c r="D55" s="121"/>
      <c r="E55" s="121"/>
      <c r="F55" s="121"/>
      <c r="G55" s="121"/>
      <c r="H55" s="46"/>
      <c r="I55" s="17">
        <f>SUM(I2:I54)</f>
        <v>526.20000000000005</v>
      </c>
      <c r="J55" s="17">
        <f>SUM(J2:J54)</f>
        <v>11.689999999999998</v>
      </c>
      <c r="L55">
        <f>J55*5</f>
        <v>58.449999999999989</v>
      </c>
    </row>
  </sheetData>
  <mergeCells count="29">
    <mergeCell ref="B34:B35"/>
    <mergeCell ref="A2:A19"/>
    <mergeCell ref="A20:A47"/>
    <mergeCell ref="J49:J53"/>
    <mergeCell ref="J2:J19"/>
    <mergeCell ref="J20:J47"/>
    <mergeCell ref="H2:H6"/>
    <mergeCell ref="H7:H12"/>
    <mergeCell ref="H13:H19"/>
    <mergeCell ref="H20:H27"/>
    <mergeCell ref="H28:H46"/>
    <mergeCell ref="I2:I19"/>
    <mergeCell ref="I20:I47"/>
    <mergeCell ref="A55:G55"/>
    <mergeCell ref="B4:B8"/>
    <mergeCell ref="B13:B15"/>
    <mergeCell ref="B20:B22"/>
    <mergeCell ref="B23:B25"/>
    <mergeCell ref="B28:B31"/>
    <mergeCell ref="B37:B39"/>
    <mergeCell ref="B16:B17"/>
    <mergeCell ref="B42:B43"/>
    <mergeCell ref="B51:B53"/>
    <mergeCell ref="C51:C53"/>
    <mergeCell ref="E4:E8"/>
    <mergeCell ref="E9:E11"/>
    <mergeCell ref="E13:E15"/>
    <mergeCell ref="A48:A54"/>
    <mergeCell ref="B9:B11"/>
  </mergeCells>
  <dataValidations count="5">
    <dataValidation type="list" allowBlank="1" showInputMessage="1" showErrorMessage="1" sqref="F2:G8 F11:G19 F20:F54" xr:uid="{765292CE-A46A-4F49-8BC4-F1E8F9D13722}">
      <formula1>"Knowledge,Skill,Awareness"</formula1>
    </dataValidation>
    <dataValidation type="list" allowBlank="1" showInputMessage="1" showErrorMessage="1" sqref="D23:D24 D21 D10 D3:D8 D47:D54 D18" xr:uid="{674F2112-D8A2-48AD-890D-59028752D71D}">
      <formula1>"ILT,Elearning,ILT &amp; ELearning,Certification,NA,Blended Learning, Video Based, Hands-on"</formula1>
    </dataValidation>
    <dataValidation type="list" allowBlank="1" showInputMessage="1" showErrorMessage="1" sqref="D9 C26 D20 D22 D13:D17 D25 D11 D28:D39" xr:uid="{499B2499-F22F-437B-9BE1-42A1AE4C6F32}">
      <formula1>"ILT/VILT,Elearning,ILT &amp; ELearning,Certification,NA,Blended Learning, Video Based, Hands-on"</formula1>
    </dataValidation>
    <dataValidation type="list" allowBlank="1" showInputMessage="1" showErrorMessage="1" sqref="F9:G10" xr:uid="{C44B7BEA-CACC-48E1-9E96-FC1DB092CBEE}">
      <formula1>"Knowledge,Skill"</formula1>
    </dataValidation>
    <dataValidation type="list" allowBlank="1" showInputMessage="1" showErrorMessage="1" sqref="D2 D40:D46 D19 D26:D27 D12" xr:uid="{2F3D1C5C-8D5C-44B2-993B-9D51913F4586}">
      <formula1>"Blended,Video Based,ILT,Elearning,Hands-on,ILT &amp; ELearning,Certification,NA,Project"</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4F58-483E-49DB-B09A-5A887B48EB48}">
  <dimension ref="A1:D51"/>
  <sheetViews>
    <sheetView tabSelected="1" zoomScale="70" zoomScaleNormal="100" workbookViewId="0">
      <pane ySplit="3" topLeftCell="A4" activePane="bottomLeft" state="frozen"/>
      <selection pane="bottomLeft" activeCell="D17" sqref="D17"/>
    </sheetView>
  </sheetViews>
  <sheetFormatPr defaultColWidth="9.140625" defaultRowHeight="14.45"/>
  <cols>
    <col min="1" max="1" width="24.42578125" style="30" bestFit="1" customWidth="1"/>
    <col min="2" max="2" width="19" style="24" customWidth="1"/>
    <col min="3" max="3" width="26" style="31" customWidth="1"/>
    <col min="4" max="4" width="62.42578125" style="24" customWidth="1"/>
    <col min="5" max="16384" width="9.140625" style="24"/>
  </cols>
  <sheetData>
    <row r="1" spans="1:4">
      <c r="A1" s="108" t="s">
        <v>127</v>
      </c>
      <c r="B1" s="108"/>
      <c r="C1" s="108"/>
      <c r="D1" s="109"/>
    </row>
    <row r="2" spans="1:4">
      <c r="A2" s="110" t="s">
        <v>128</v>
      </c>
      <c r="B2" s="110"/>
      <c r="C2" s="110"/>
      <c r="D2" s="111"/>
    </row>
    <row r="3" spans="1:4">
      <c r="A3" s="25" t="s">
        <v>129</v>
      </c>
      <c r="B3" s="25" t="s">
        <v>37</v>
      </c>
      <c r="C3" s="25" t="s">
        <v>130</v>
      </c>
      <c r="D3" s="25" t="s">
        <v>131</v>
      </c>
    </row>
    <row r="4" spans="1:4" ht="24.95">
      <c r="A4" s="112" t="s">
        <v>132</v>
      </c>
      <c r="B4" s="113" t="s">
        <v>133</v>
      </c>
      <c r="C4" s="26" t="s">
        <v>134</v>
      </c>
      <c r="D4" s="26" t="s">
        <v>135</v>
      </c>
    </row>
    <row r="5" spans="1:4" ht="24.95">
      <c r="A5" s="112"/>
      <c r="B5" s="113"/>
      <c r="C5" s="26" t="s">
        <v>136</v>
      </c>
      <c r="D5" s="26" t="s">
        <v>137</v>
      </c>
    </row>
    <row r="6" spans="1:4" ht="24.95">
      <c r="A6" s="112"/>
      <c r="B6" s="113"/>
      <c r="C6" s="26" t="s">
        <v>138</v>
      </c>
      <c r="D6" s="26" t="s">
        <v>139</v>
      </c>
    </row>
    <row r="7" spans="1:4">
      <c r="A7" s="112"/>
      <c r="B7" s="113"/>
      <c r="C7" s="26" t="s">
        <v>140</v>
      </c>
      <c r="D7" s="26" t="s">
        <v>141</v>
      </c>
    </row>
    <row r="8" spans="1:4" ht="24.95">
      <c r="A8" s="112"/>
      <c r="B8" s="113"/>
      <c r="C8" s="26" t="s">
        <v>142</v>
      </c>
      <c r="D8" s="26" t="s">
        <v>143</v>
      </c>
    </row>
    <row r="9" spans="1:4" ht="24.95">
      <c r="A9" s="112"/>
      <c r="B9" s="113"/>
      <c r="C9" s="26" t="s">
        <v>144</v>
      </c>
      <c r="D9" s="26" t="s">
        <v>145</v>
      </c>
    </row>
    <row r="10" spans="1:4">
      <c r="A10" s="112"/>
      <c r="B10" s="113"/>
      <c r="C10" s="26" t="s">
        <v>146</v>
      </c>
      <c r="D10" s="26" t="s">
        <v>147</v>
      </c>
    </row>
    <row r="11" spans="1:4">
      <c r="A11" s="112"/>
      <c r="B11" s="113"/>
      <c r="C11" s="26" t="s">
        <v>148</v>
      </c>
      <c r="D11" s="26" t="s">
        <v>149</v>
      </c>
    </row>
    <row r="12" spans="1:4" ht="24.95">
      <c r="A12" s="112"/>
      <c r="B12" s="113"/>
      <c r="C12" s="26" t="s">
        <v>150</v>
      </c>
      <c r="D12" s="26" t="s">
        <v>151</v>
      </c>
    </row>
    <row r="13" spans="1:4" ht="37.5">
      <c r="A13" s="112"/>
      <c r="B13" s="113" t="s">
        <v>152</v>
      </c>
      <c r="C13" s="26" t="s">
        <v>153</v>
      </c>
      <c r="D13" s="26" t="s">
        <v>154</v>
      </c>
    </row>
    <row r="14" spans="1:4" ht="24.95">
      <c r="A14" s="112"/>
      <c r="B14" s="113"/>
      <c r="C14" s="26" t="s">
        <v>155</v>
      </c>
      <c r="D14" s="26" t="s">
        <v>156</v>
      </c>
    </row>
    <row r="15" spans="1:4" ht="24.95">
      <c r="A15" s="112"/>
      <c r="B15" s="113"/>
      <c r="C15" s="26" t="s">
        <v>157</v>
      </c>
      <c r="D15" s="26" t="s">
        <v>158</v>
      </c>
    </row>
    <row r="16" spans="1:4" ht="24.95">
      <c r="A16" s="112"/>
      <c r="B16" s="113"/>
      <c r="C16" s="26" t="s">
        <v>159</v>
      </c>
      <c r="D16" s="26" t="s">
        <v>160</v>
      </c>
    </row>
    <row r="17" spans="1:4">
      <c r="A17" s="112"/>
      <c r="B17" s="113"/>
      <c r="C17" s="26" t="s">
        <v>161</v>
      </c>
      <c r="D17" s="26" t="s">
        <v>162</v>
      </c>
    </row>
    <row r="18" spans="1:4">
      <c r="A18" s="112"/>
      <c r="B18" s="113" t="s">
        <v>40</v>
      </c>
      <c r="C18" s="113" t="s">
        <v>163</v>
      </c>
      <c r="D18" s="26" t="s">
        <v>164</v>
      </c>
    </row>
    <row r="19" spans="1:4" ht="37.5">
      <c r="A19" s="112"/>
      <c r="B19" s="113"/>
      <c r="C19" s="113"/>
      <c r="D19" s="26" t="s">
        <v>165</v>
      </c>
    </row>
    <row r="20" spans="1:4" ht="24.95">
      <c r="A20" s="112"/>
      <c r="B20" s="113"/>
      <c r="C20" s="113" t="s">
        <v>166</v>
      </c>
      <c r="D20" s="26" t="s">
        <v>167</v>
      </c>
    </row>
    <row r="21" spans="1:4">
      <c r="A21" s="112"/>
      <c r="B21" s="113"/>
      <c r="C21" s="113"/>
      <c r="D21" s="27" t="s">
        <v>168</v>
      </c>
    </row>
    <row r="22" spans="1:4" ht="26.1" customHeight="1">
      <c r="A22" s="114" t="s">
        <v>51</v>
      </c>
      <c r="B22" s="113" t="s">
        <v>169</v>
      </c>
      <c r="C22" s="39" t="s">
        <v>170</v>
      </c>
      <c r="D22" s="40" t="s">
        <v>171</v>
      </c>
    </row>
    <row r="23" spans="1:4" ht="24.95">
      <c r="A23" s="114"/>
      <c r="B23" s="113"/>
      <c r="C23" s="39" t="s">
        <v>172</v>
      </c>
      <c r="D23" s="40" t="s">
        <v>173</v>
      </c>
    </row>
    <row r="24" spans="1:4" ht="37.5">
      <c r="A24" s="114"/>
      <c r="B24" s="113"/>
      <c r="C24" s="39" t="s">
        <v>174</v>
      </c>
      <c r="D24" s="41" t="s">
        <v>175</v>
      </c>
    </row>
    <row r="25" spans="1:4" ht="24.95">
      <c r="A25" s="114"/>
      <c r="B25" s="113"/>
      <c r="C25" s="39" t="s">
        <v>176</v>
      </c>
      <c r="D25" s="41" t="s">
        <v>177</v>
      </c>
    </row>
    <row r="26" spans="1:4">
      <c r="A26" s="114"/>
      <c r="B26" s="113"/>
      <c r="C26" s="39" t="s">
        <v>178</v>
      </c>
      <c r="D26" s="41" t="s">
        <v>179</v>
      </c>
    </row>
    <row r="27" spans="1:4" ht="125.1">
      <c r="A27" s="114"/>
      <c r="B27" s="113"/>
      <c r="C27" s="39" t="s">
        <v>180</v>
      </c>
      <c r="D27" s="42" t="s">
        <v>181</v>
      </c>
    </row>
    <row r="28" spans="1:4" ht="24.95">
      <c r="A28" s="114"/>
      <c r="B28" s="113"/>
      <c r="C28" s="39" t="s">
        <v>182</v>
      </c>
      <c r="D28" s="40" t="s">
        <v>183</v>
      </c>
    </row>
    <row r="29" spans="1:4" ht="37.5">
      <c r="A29" s="114"/>
      <c r="B29" s="113"/>
      <c r="C29" s="39" t="s">
        <v>184</v>
      </c>
      <c r="D29" s="40" t="s">
        <v>185</v>
      </c>
    </row>
    <row r="30" spans="1:4" ht="75">
      <c r="A30" s="114"/>
      <c r="B30" s="113"/>
      <c r="C30" s="39" t="s">
        <v>186</v>
      </c>
      <c r="D30" s="40" t="s">
        <v>187</v>
      </c>
    </row>
    <row r="31" spans="1:4" ht="24.95">
      <c r="A31" s="114"/>
      <c r="B31" s="113"/>
      <c r="C31" s="39" t="s">
        <v>188</v>
      </c>
      <c r="D31" s="40" t="s">
        <v>189</v>
      </c>
    </row>
    <row r="32" spans="1:4" ht="24.95">
      <c r="A32" s="114"/>
      <c r="B32" s="113"/>
      <c r="C32" s="39" t="s">
        <v>190</v>
      </c>
      <c r="D32" s="40" t="s">
        <v>191</v>
      </c>
    </row>
    <row r="33" spans="1:4">
      <c r="A33" s="114"/>
      <c r="B33" s="113"/>
      <c r="C33" s="39" t="s">
        <v>192</v>
      </c>
      <c r="D33" s="40" t="s">
        <v>193</v>
      </c>
    </row>
    <row r="34" spans="1:4" ht="75">
      <c r="A34" s="114"/>
      <c r="B34" s="113"/>
      <c r="C34" s="39" t="s">
        <v>194</v>
      </c>
      <c r="D34" s="40" t="s">
        <v>195</v>
      </c>
    </row>
    <row r="35" spans="1:4" ht="37.5">
      <c r="A35" s="114"/>
      <c r="B35" s="113"/>
      <c r="C35" s="39" t="s">
        <v>196</v>
      </c>
      <c r="D35" s="40" t="s">
        <v>197</v>
      </c>
    </row>
    <row r="36" spans="1:4" ht="24.95">
      <c r="A36" s="114"/>
      <c r="B36" s="113"/>
      <c r="C36" s="39" t="s">
        <v>198</v>
      </c>
      <c r="D36" s="40" t="s">
        <v>199</v>
      </c>
    </row>
    <row r="37" spans="1:4">
      <c r="A37" s="114"/>
      <c r="B37" s="113"/>
      <c r="C37" s="39" t="s">
        <v>200</v>
      </c>
      <c r="D37" s="40" t="s">
        <v>201</v>
      </c>
    </row>
    <row r="38" spans="1:4" ht="26.1" customHeight="1">
      <c r="A38" s="112" t="s">
        <v>51</v>
      </c>
      <c r="B38" s="113" t="s">
        <v>202</v>
      </c>
      <c r="C38" s="26" t="s">
        <v>203</v>
      </c>
      <c r="D38" s="26" t="s">
        <v>204</v>
      </c>
    </row>
    <row r="39" spans="1:4" ht="24.95" customHeight="1">
      <c r="A39" s="112"/>
      <c r="B39" s="113"/>
      <c r="C39" s="26" t="s">
        <v>205</v>
      </c>
      <c r="D39" s="26" t="s">
        <v>206</v>
      </c>
    </row>
    <row r="40" spans="1:4" ht="24.95">
      <c r="A40" s="112"/>
      <c r="B40" s="113"/>
      <c r="C40" s="26" t="s">
        <v>207</v>
      </c>
      <c r="D40" s="26" t="s">
        <v>208</v>
      </c>
    </row>
    <row r="41" spans="1:4" ht="99.95">
      <c r="A41" s="112"/>
      <c r="B41" s="113"/>
      <c r="C41" s="26" t="s">
        <v>209</v>
      </c>
      <c r="D41" s="26" t="s">
        <v>210</v>
      </c>
    </row>
    <row r="42" spans="1:4" ht="37.5">
      <c r="A42" s="112"/>
      <c r="B42" s="113"/>
      <c r="C42" s="26" t="s">
        <v>211</v>
      </c>
      <c r="D42" s="26" t="s">
        <v>212</v>
      </c>
    </row>
    <row r="43" spans="1:4">
      <c r="A43" s="112"/>
      <c r="B43" s="113"/>
      <c r="C43" s="26" t="s">
        <v>213</v>
      </c>
      <c r="D43" s="26" t="s">
        <v>214</v>
      </c>
    </row>
    <row r="44" spans="1:4" ht="50.1">
      <c r="A44" s="112"/>
      <c r="B44" s="113"/>
      <c r="C44" s="26" t="s">
        <v>215</v>
      </c>
      <c r="D44" s="26" t="s">
        <v>216</v>
      </c>
    </row>
    <row r="45" spans="1:4" ht="187.5">
      <c r="A45" s="112"/>
      <c r="B45" s="113"/>
      <c r="C45" s="26" t="s">
        <v>217</v>
      </c>
      <c r="D45" s="26" t="s">
        <v>218</v>
      </c>
    </row>
    <row r="46" spans="1:4" ht="54.75" customHeight="1">
      <c r="A46" s="112"/>
      <c r="B46" s="113"/>
      <c r="C46" s="26" t="s">
        <v>219</v>
      </c>
      <c r="D46" s="26" t="s">
        <v>220</v>
      </c>
    </row>
    <row r="47" spans="1:4" ht="54.75" customHeight="1">
      <c r="A47" s="112"/>
      <c r="B47" s="113"/>
      <c r="C47" s="26" t="s">
        <v>221</v>
      </c>
      <c r="D47" s="29" t="s">
        <v>222</v>
      </c>
    </row>
    <row r="48" spans="1:4" ht="48.75" customHeight="1">
      <c r="A48" s="112"/>
      <c r="B48" s="26" t="s">
        <v>223</v>
      </c>
      <c r="C48" s="26" t="s">
        <v>224</v>
      </c>
      <c r="D48" s="26" t="s">
        <v>225</v>
      </c>
    </row>
    <row r="49" spans="1:4" ht="49.5" customHeight="1">
      <c r="A49" s="112"/>
      <c r="B49" s="26" t="s">
        <v>226</v>
      </c>
      <c r="C49" s="26" t="s">
        <v>227</v>
      </c>
      <c r="D49" s="26" t="s">
        <v>228</v>
      </c>
    </row>
    <row r="50" spans="1:4" ht="24.95">
      <c r="A50" s="112"/>
      <c r="B50" s="113" t="s">
        <v>229</v>
      </c>
      <c r="C50" s="26" t="s">
        <v>230</v>
      </c>
      <c r="D50" s="26" t="s">
        <v>231</v>
      </c>
    </row>
    <row r="51" spans="1:4">
      <c r="A51" s="112"/>
      <c r="B51" s="113"/>
      <c r="C51" s="26" t="s">
        <v>232</v>
      </c>
      <c r="D51" s="26" t="s">
        <v>233</v>
      </c>
    </row>
  </sheetData>
  <mergeCells count="13">
    <mergeCell ref="A22:A37"/>
    <mergeCell ref="B22:B37"/>
    <mergeCell ref="A38:A51"/>
    <mergeCell ref="B38:B47"/>
    <mergeCell ref="B50:B51"/>
    <mergeCell ref="A1:D1"/>
    <mergeCell ref="A2:D2"/>
    <mergeCell ref="A4:A21"/>
    <mergeCell ref="B4:B12"/>
    <mergeCell ref="B13:B17"/>
    <mergeCell ref="B18:B21"/>
    <mergeCell ref="C18:C19"/>
    <mergeCell ref="C20:C2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86766-1C2B-4036-8022-A76EE7031C28}">
  <dimension ref="A1:F43"/>
  <sheetViews>
    <sheetView workbookViewId="0">
      <pane ySplit="3" topLeftCell="A8" activePane="bottomLeft" state="frozen"/>
      <selection pane="bottomLeft" activeCell="D38" sqref="D38"/>
    </sheetView>
  </sheetViews>
  <sheetFormatPr defaultColWidth="9.140625" defaultRowHeight="14.45"/>
  <cols>
    <col min="1" max="1" width="27.85546875" style="32" customWidth="1"/>
    <col min="2" max="2" width="23.5703125" style="32" customWidth="1"/>
    <col min="3" max="3" width="24.7109375" style="34" customWidth="1"/>
    <col min="4" max="4" width="69.28515625" style="32" customWidth="1"/>
    <col min="5" max="16384" width="9.140625" style="32"/>
  </cols>
  <sheetData>
    <row r="1" spans="1:4">
      <c r="A1" s="142" t="s">
        <v>234</v>
      </c>
      <c r="B1" s="142"/>
      <c r="C1" s="142"/>
      <c r="D1" s="142"/>
    </row>
    <row r="2" spans="1:4">
      <c r="A2" s="143" t="s">
        <v>128</v>
      </c>
      <c r="B2" s="143"/>
      <c r="C2" s="143"/>
      <c r="D2" s="143"/>
    </row>
    <row r="3" spans="1:4">
      <c r="A3" s="25" t="s">
        <v>129</v>
      </c>
      <c r="B3" s="33" t="s">
        <v>37</v>
      </c>
      <c r="C3" s="33" t="s">
        <v>130</v>
      </c>
      <c r="D3" s="33" t="s">
        <v>131</v>
      </c>
    </row>
    <row r="4" spans="1:4" ht="24.95">
      <c r="A4" s="114" t="s">
        <v>235</v>
      </c>
      <c r="B4" s="144" t="s">
        <v>236</v>
      </c>
      <c r="C4" s="28" t="s">
        <v>237</v>
      </c>
      <c r="D4" s="26" t="s">
        <v>238</v>
      </c>
    </row>
    <row r="5" spans="1:4">
      <c r="A5" s="114"/>
      <c r="B5" s="144"/>
      <c r="C5" s="28" t="s">
        <v>239</v>
      </c>
      <c r="D5" s="28" t="s">
        <v>240</v>
      </c>
    </row>
    <row r="6" spans="1:4">
      <c r="A6" s="114"/>
      <c r="B6" s="144"/>
      <c r="C6" s="28" t="s">
        <v>241</v>
      </c>
      <c r="D6" s="26" t="s">
        <v>242</v>
      </c>
    </row>
    <row r="7" spans="1:4">
      <c r="A7" s="114"/>
      <c r="B7" s="144" t="s">
        <v>243</v>
      </c>
      <c r="C7" s="113" t="s">
        <v>244</v>
      </c>
      <c r="D7" s="26" t="s">
        <v>245</v>
      </c>
    </row>
    <row r="8" spans="1:4">
      <c r="A8" s="114"/>
      <c r="B8" s="144"/>
      <c r="C8" s="113"/>
      <c r="D8" s="26" t="s">
        <v>246</v>
      </c>
    </row>
    <row r="9" spans="1:4">
      <c r="A9" s="114"/>
      <c r="B9" s="144"/>
      <c r="C9" s="113"/>
      <c r="D9" s="26" t="s">
        <v>247</v>
      </c>
    </row>
    <row r="10" spans="1:4">
      <c r="A10" s="114"/>
      <c r="B10" s="144"/>
      <c r="C10" s="113"/>
      <c r="D10" s="26" t="s">
        <v>248</v>
      </c>
    </row>
    <row r="11" spans="1:4" ht="24.95">
      <c r="A11" s="114"/>
      <c r="B11" s="144"/>
      <c r="C11" s="113"/>
      <c r="D11" s="26" t="s">
        <v>249</v>
      </c>
    </row>
    <row r="12" spans="1:4">
      <c r="A12" s="114"/>
      <c r="B12" s="144"/>
      <c r="C12" s="113"/>
      <c r="D12" s="26" t="s">
        <v>250</v>
      </c>
    </row>
    <row r="13" spans="1:4">
      <c r="A13" s="114"/>
      <c r="B13" s="144"/>
      <c r="C13" s="113"/>
      <c r="D13" s="26" t="s">
        <v>251</v>
      </c>
    </row>
    <row r="14" spans="1:4">
      <c r="A14" s="114"/>
      <c r="B14" s="144"/>
      <c r="C14" s="113" t="s">
        <v>252</v>
      </c>
      <c r="D14" s="26" t="s">
        <v>253</v>
      </c>
    </row>
    <row r="15" spans="1:4">
      <c r="A15" s="114"/>
      <c r="B15" s="144"/>
      <c r="C15" s="113"/>
      <c r="D15" s="26" t="s">
        <v>254</v>
      </c>
    </row>
    <row r="16" spans="1:4">
      <c r="A16" s="114"/>
      <c r="B16" s="144"/>
      <c r="C16" s="113"/>
      <c r="D16" s="26" t="s">
        <v>255</v>
      </c>
    </row>
    <row r="17" spans="1:4" ht="37.5">
      <c r="A17" s="114"/>
      <c r="B17" s="144"/>
      <c r="C17" s="113"/>
      <c r="D17" s="26" t="s">
        <v>256</v>
      </c>
    </row>
    <row r="18" spans="1:4">
      <c r="A18" s="114"/>
      <c r="B18" s="144"/>
      <c r="C18" s="26" t="s">
        <v>257</v>
      </c>
      <c r="D18" s="26" t="s">
        <v>257</v>
      </c>
    </row>
    <row r="19" spans="1:4">
      <c r="A19" s="114"/>
      <c r="B19" s="144"/>
      <c r="C19" s="26" t="s">
        <v>258</v>
      </c>
      <c r="D19" s="27" t="s">
        <v>259</v>
      </c>
    </row>
    <row r="20" spans="1:4" s="24" customFormat="1">
      <c r="A20" s="114" t="s">
        <v>260</v>
      </c>
      <c r="B20" s="114" t="s">
        <v>260</v>
      </c>
      <c r="C20" s="112" t="s">
        <v>261</v>
      </c>
      <c r="D20" s="27" t="s">
        <v>262</v>
      </c>
    </row>
    <row r="21" spans="1:4" s="24" customFormat="1">
      <c r="A21" s="114"/>
      <c r="B21" s="114"/>
      <c r="C21" s="112"/>
      <c r="D21" s="8" t="s">
        <v>263</v>
      </c>
    </row>
    <row r="22" spans="1:4" s="24" customFormat="1">
      <c r="A22" s="114"/>
      <c r="B22" s="114"/>
      <c r="C22" s="112"/>
      <c r="D22" s="8" t="s">
        <v>264</v>
      </c>
    </row>
    <row r="23" spans="1:4" s="24" customFormat="1">
      <c r="A23" s="114"/>
      <c r="B23" s="114"/>
      <c r="C23" s="112"/>
      <c r="D23" s="8" t="s">
        <v>265</v>
      </c>
    </row>
    <row r="24" spans="1:4" s="24" customFormat="1">
      <c r="A24" s="114"/>
      <c r="B24" s="114"/>
      <c r="C24" s="112"/>
      <c r="D24" s="8" t="s">
        <v>266</v>
      </c>
    </row>
    <row r="25" spans="1:4" s="24" customFormat="1">
      <c r="A25" s="114"/>
      <c r="B25" s="114"/>
      <c r="C25" s="112"/>
      <c r="D25" s="8" t="s">
        <v>267</v>
      </c>
    </row>
    <row r="26" spans="1:4" s="24" customFormat="1">
      <c r="A26" s="114"/>
      <c r="B26" s="114" t="s">
        <v>268</v>
      </c>
      <c r="C26" s="112" t="s">
        <v>269</v>
      </c>
      <c r="D26" s="8" t="s">
        <v>270</v>
      </c>
    </row>
    <row r="27" spans="1:4" s="24" customFormat="1">
      <c r="A27" s="114"/>
      <c r="B27" s="114"/>
      <c r="C27" s="112"/>
      <c r="D27" s="27" t="s">
        <v>271</v>
      </c>
    </row>
    <row r="28" spans="1:4" s="24" customFormat="1">
      <c r="A28" s="114"/>
      <c r="B28" s="114"/>
      <c r="C28" s="112"/>
      <c r="D28" s="27" t="s">
        <v>272</v>
      </c>
    </row>
    <row r="29" spans="1:4" s="24" customFormat="1">
      <c r="A29" s="114"/>
      <c r="B29" s="114"/>
      <c r="C29" s="112"/>
      <c r="D29" s="27" t="s">
        <v>273</v>
      </c>
    </row>
    <row r="30" spans="1:4" s="24" customFormat="1">
      <c r="A30" s="114"/>
      <c r="B30" s="114"/>
      <c r="C30" s="8" t="s">
        <v>274</v>
      </c>
      <c r="D30" s="19" t="s">
        <v>275</v>
      </c>
    </row>
    <row r="31" spans="1:4" s="24" customFormat="1">
      <c r="A31" s="114"/>
      <c r="B31" s="114"/>
      <c r="C31" s="8" t="s">
        <v>276</v>
      </c>
      <c r="D31" s="8" t="s">
        <v>276</v>
      </c>
    </row>
    <row r="32" spans="1:4">
      <c r="A32" s="112" t="s">
        <v>277</v>
      </c>
      <c r="B32" s="144" t="s">
        <v>76</v>
      </c>
      <c r="C32" s="26" t="s">
        <v>278</v>
      </c>
      <c r="D32" s="27" t="s">
        <v>279</v>
      </c>
    </row>
    <row r="33" spans="1:6">
      <c r="A33" s="112"/>
      <c r="B33" s="144"/>
      <c r="C33" s="26" t="s">
        <v>280</v>
      </c>
      <c r="D33" s="27" t="s">
        <v>281</v>
      </c>
    </row>
    <row r="34" spans="1:6">
      <c r="A34" s="112"/>
      <c r="B34" s="144"/>
      <c r="C34" s="112" t="s">
        <v>282</v>
      </c>
      <c r="D34" s="27" t="s">
        <v>283</v>
      </c>
    </row>
    <row r="35" spans="1:6">
      <c r="A35" s="112"/>
      <c r="B35" s="144"/>
      <c r="C35" s="112"/>
      <c r="D35" s="27" t="s">
        <v>284</v>
      </c>
    </row>
    <row r="36" spans="1:6">
      <c r="A36" s="112"/>
      <c r="B36" s="144"/>
      <c r="C36" s="112"/>
      <c r="D36" s="27" t="s">
        <v>285</v>
      </c>
    </row>
    <row r="37" spans="1:6">
      <c r="A37" s="112"/>
      <c r="B37" s="144"/>
      <c r="C37" s="112"/>
      <c r="D37" s="27" t="s">
        <v>286</v>
      </c>
    </row>
    <row r="38" spans="1:6">
      <c r="A38" s="112"/>
      <c r="B38" s="144"/>
      <c r="C38" s="112"/>
      <c r="D38" s="27" t="s">
        <v>287</v>
      </c>
    </row>
    <row r="39" spans="1:6">
      <c r="A39" s="112"/>
      <c r="B39" s="144"/>
      <c r="C39" s="112"/>
      <c r="D39" s="27" t="s">
        <v>288</v>
      </c>
    </row>
    <row r="40" spans="1:6">
      <c r="A40" s="112"/>
      <c r="B40" s="144"/>
      <c r="C40" s="112"/>
      <c r="D40" s="27" t="s">
        <v>289</v>
      </c>
    </row>
    <row r="41" spans="1:6" ht="50.1">
      <c r="A41" s="120" t="s">
        <v>290</v>
      </c>
      <c r="B41" s="36" t="s">
        <v>291</v>
      </c>
      <c r="C41" s="38" t="s">
        <v>292</v>
      </c>
      <c r="D41" s="36" t="s">
        <v>293</v>
      </c>
      <c r="F41" s="34"/>
    </row>
    <row r="42" spans="1:6" ht="37.5">
      <c r="A42" s="120"/>
      <c r="B42" s="37" t="s">
        <v>294</v>
      </c>
      <c r="C42" s="38" t="s">
        <v>295</v>
      </c>
      <c r="D42" s="36" t="s">
        <v>296</v>
      </c>
      <c r="F42" s="34"/>
    </row>
    <row r="43" spans="1:6" ht="75">
      <c r="A43" s="120"/>
      <c r="B43" s="38" t="s">
        <v>297</v>
      </c>
      <c r="C43" s="36" t="s">
        <v>298</v>
      </c>
      <c r="D43" s="36" t="s">
        <v>299</v>
      </c>
      <c r="F43" s="34"/>
    </row>
  </sheetData>
  <mergeCells count="16">
    <mergeCell ref="A41:A43"/>
    <mergeCell ref="A32:A40"/>
    <mergeCell ref="B32:B40"/>
    <mergeCell ref="C34:C40"/>
    <mergeCell ref="A4:A19"/>
    <mergeCell ref="B4:B6"/>
    <mergeCell ref="B7:B19"/>
    <mergeCell ref="C7:C13"/>
    <mergeCell ref="C14:C17"/>
    <mergeCell ref="A1:D1"/>
    <mergeCell ref="A2:D2"/>
    <mergeCell ref="A20:A31"/>
    <mergeCell ref="B20:B25"/>
    <mergeCell ref="C20:C25"/>
    <mergeCell ref="B26:B31"/>
    <mergeCell ref="C26:C2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4924-04CD-41EF-9453-35443AE5EABE}">
  <dimension ref="A1:D12"/>
  <sheetViews>
    <sheetView topLeftCell="B6" workbookViewId="0">
      <selection activeCell="C12" sqref="C12"/>
    </sheetView>
  </sheetViews>
  <sheetFormatPr defaultRowHeight="14.45"/>
  <cols>
    <col min="1" max="1" width="14.5703125" customWidth="1"/>
    <col min="2" max="2" width="27.140625" customWidth="1"/>
    <col min="3" max="3" width="26.5703125" customWidth="1"/>
    <col min="4" max="4" width="58.140625" customWidth="1"/>
  </cols>
  <sheetData>
    <row r="1" spans="1:4">
      <c r="A1" s="57" t="s">
        <v>129</v>
      </c>
      <c r="B1" s="58" t="s">
        <v>37</v>
      </c>
      <c r="C1" s="58" t="s">
        <v>130</v>
      </c>
      <c r="D1" s="58" t="s">
        <v>131</v>
      </c>
    </row>
    <row r="2" spans="1:4" ht="24.95">
      <c r="A2" s="145" t="s">
        <v>300</v>
      </c>
      <c r="B2" s="144" t="s">
        <v>92</v>
      </c>
      <c r="C2" s="26" t="s">
        <v>301</v>
      </c>
      <c r="D2" s="26" t="s">
        <v>302</v>
      </c>
    </row>
    <row r="3" spans="1:4" ht="24.95">
      <c r="A3" s="146"/>
      <c r="B3" s="144"/>
      <c r="C3" s="26" t="s">
        <v>303</v>
      </c>
      <c r="D3" s="26" t="s">
        <v>304</v>
      </c>
    </row>
    <row r="4" spans="1:4" ht="37.5">
      <c r="A4" s="146"/>
      <c r="B4" s="144"/>
      <c r="C4" s="26" t="s">
        <v>305</v>
      </c>
      <c r="D4" s="26" t="s">
        <v>306</v>
      </c>
    </row>
    <row r="5" spans="1:4" ht="62.45">
      <c r="A5" s="146"/>
      <c r="B5" s="144"/>
      <c r="C5" s="26" t="s">
        <v>307</v>
      </c>
      <c r="D5" s="26" t="s">
        <v>308</v>
      </c>
    </row>
    <row r="6" spans="1:4" ht="62.45">
      <c r="A6" s="146"/>
      <c r="B6" s="144"/>
      <c r="C6" s="26" t="s">
        <v>309</v>
      </c>
      <c r="D6" s="26" t="s">
        <v>310</v>
      </c>
    </row>
    <row r="7" spans="1:4" ht="37.5">
      <c r="A7" s="146"/>
      <c r="B7" s="144"/>
      <c r="C7" s="26" t="s">
        <v>311</v>
      </c>
      <c r="D7" s="26" t="s">
        <v>312</v>
      </c>
    </row>
    <row r="8" spans="1:4" ht="37.5">
      <c r="A8" s="146"/>
      <c r="B8" s="144"/>
      <c r="C8" s="26" t="s">
        <v>313</v>
      </c>
      <c r="D8" s="26" t="s">
        <v>314</v>
      </c>
    </row>
    <row r="9" spans="1:4" ht="37.5">
      <c r="A9" s="146"/>
      <c r="B9" s="144"/>
      <c r="C9" s="26" t="s">
        <v>315</v>
      </c>
      <c r="D9" s="26" t="s">
        <v>316</v>
      </c>
    </row>
    <row r="10" spans="1:4" ht="87.6">
      <c r="A10" s="146"/>
      <c r="B10" s="144"/>
      <c r="C10" s="26" t="s">
        <v>317</v>
      </c>
      <c r="D10" s="26" t="s">
        <v>318</v>
      </c>
    </row>
    <row r="11" spans="1:4" ht="62.45">
      <c r="A11" s="146"/>
      <c r="B11" s="144"/>
      <c r="C11" s="26" t="s">
        <v>319</v>
      </c>
      <c r="D11" s="26" t="s">
        <v>320</v>
      </c>
    </row>
    <row r="12" spans="1:4" ht="62.45">
      <c r="A12" s="147"/>
      <c r="B12" s="144"/>
      <c r="C12" s="26" t="s">
        <v>321</v>
      </c>
      <c r="D12" s="26" t="s">
        <v>322</v>
      </c>
    </row>
  </sheetData>
  <mergeCells count="2">
    <mergeCell ref="A2:A12"/>
    <mergeCell ref="B2:B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F6F5-D077-4C39-AA76-1A42C5C41CB4}">
  <dimension ref="A1:J25"/>
  <sheetViews>
    <sheetView topLeftCell="A16" workbookViewId="0">
      <selection sqref="A1:C25"/>
    </sheetView>
  </sheetViews>
  <sheetFormatPr defaultRowHeight="14.45"/>
  <cols>
    <col min="1" max="1" width="18.5703125" bestFit="1" customWidth="1"/>
    <col min="2" max="2" width="48.140625" bestFit="1" customWidth="1"/>
    <col min="3" max="3" width="27.140625" customWidth="1"/>
    <col min="4" max="4" width="11.85546875" bestFit="1" customWidth="1"/>
    <col min="5" max="5" width="9" bestFit="1" customWidth="1"/>
    <col min="6" max="6" width="10.5703125" bestFit="1" customWidth="1"/>
    <col min="7" max="7" width="8.85546875" bestFit="1" customWidth="1"/>
    <col min="8" max="8" width="8.5703125" bestFit="1" customWidth="1"/>
  </cols>
  <sheetData>
    <row r="1" spans="1:10" ht="65.099999999999994">
      <c r="A1" s="6" t="s">
        <v>11</v>
      </c>
      <c r="B1" s="6" t="s">
        <v>19</v>
      </c>
      <c r="C1" s="6" t="s">
        <v>20</v>
      </c>
      <c r="D1" s="23" t="s">
        <v>21</v>
      </c>
      <c r="E1" s="21" t="s">
        <v>22</v>
      </c>
      <c r="F1" s="6" t="s">
        <v>23</v>
      </c>
      <c r="G1" s="59" t="s">
        <v>323</v>
      </c>
      <c r="H1" s="6" t="s">
        <v>24</v>
      </c>
      <c r="I1" s="21" t="s">
        <v>26</v>
      </c>
      <c r="J1" s="21" t="s">
        <v>27</v>
      </c>
    </row>
    <row r="2" spans="1:10" ht="29.1">
      <c r="A2" s="148">
        <v>1</v>
      </c>
      <c r="B2" s="148" t="s">
        <v>57</v>
      </c>
      <c r="C2" s="66" t="s">
        <v>324</v>
      </c>
      <c r="D2" s="9" t="s">
        <v>34</v>
      </c>
      <c r="E2" s="61">
        <v>4</v>
      </c>
      <c r="F2" s="61" t="s">
        <v>30</v>
      </c>
      <c r="G2" s="61"/>
      <c r="H2" s="61"/>
      <c r="I2" s="148">
        <f>SUM(E2:E4)</f>
        <v>10</v>
      </c>
      <c r="J2" s="61"/>
    </row>
    <row r="3" spans="1:10">
      <c r="A3" s="148"/>
      <c r="B3" s="148"/>
      <c r="C3" s="66" t="s">
        <v>325</v>
      </c>
      <c r="D3" s="9" t="s">
        <v>34</v>
      </c>
      <c r="E3" s="61">
        <v>4</v>
      </c>
      <c r="F3" s="61" t="s">
        <v>30</v>
      </c>
      <c r="G3" s="61"/>
      <c r="H3" s="61"/>
      <c r="I3" s="148"/>
      <c r="J3" s="61"/>
    </row>
    <row r="4" spans="1:10">
      <c r="A4" s="148"/>
      <c r="B4" s="148"/>
      <c r="C4" s="66" t="s">
        <v>326</v>
      </c>
      <c r="D4" s="9" t="s">
        <v>34</v>
      </c>
      <c r="E4" s="61">
        <v>2</v>
      </c>
      <c r="F4" s="61" t="s">
        <v>30</v>
      </c>
      <c r="G4" s="61"/>
      <c r="H4" s="61"/>
      <c r="I4" s="148"/>
      <c r="J4" s="61"/>
    </row>
    <row r="5" spans="1:10" ht="29.1">
      <c r="A5" s="148">
        <v>2</v>
      </c>
      <c r="B5" s="148" t="s">
        <v>58</v>
      </c>
      <c r="C5" s="66" t="s">
        <v>327</v>
      </c>
      <c r="D5" s="9" t="s">
        <v>34</v>
      </c>
      <c r="E5" s="61">
        <v>2</v>
      </c>
      <c r="F5" s="61" t="s">
        <v>30</v>
      </c>
      <c r="G5" s="61"/>
      <c r="H5" s="61"/>
      <c r="I5" s="148">
        <f>SUM(E5:E15)</f>
        <v>55</v>
      </c>
      <c r="J5" s="61"/>
    </row>
    <row r="6" spans="1:10" ht="57.95">
      <c r="A6" s="148"/>
      <c r="B6" s="148"/>
      <c r="C6" s="66" t="s">
        <v>328</v>
      </c>
      <c r="D6" s="9" t="s">
        <v>34</v>
      </c>
      <c r="E6" s="61">
        <v>6</v>
      </c>
      <c r="F6" s="61" t="s">
        <v>30</v>
      </c>
      <c r="G6" s="61"/>
      <c r="H6" s="61"/>
      <c r="I6" s="148"/>
      <c r="J6" s="61"/>
    </row>
    <row r="7" spans="1:10" ht="29.1">
      <c r="A7" s="148"/>
      <c r="B7" s="148"/>
      <c r="C7" s="66" t="s">
        <v>329</v>
      </c>
      <c r="D7" s="9" t="s">
        <v>39</v>
      </c>
      <c r="E7" s="61">
        <v>4</v>
      </c>
      <c r="F7" s="61" t="s">
        <v>37</v>
      </c>
      <c r="G7" s="61"/>
      <c r="H7" s="61"/>
      <c r="I7" s="148"/>
      <c r="J7" s="61"/>
    </row>
    <row r="8" spans="1:10" ht="43.5">
      <c r="A8" s="148"/>
      <c r="B8" s="148"/>
      <c r="C8" s="66" t="s">
        <v>330</v>
      </c>
      <c r="D8" s="9" t="s">
        <v>34</v>
      </c>
      <c r="E8" s="61">
        <v>6</v>
      </c>
      <c r="F8" s="61" t="s">
        <v>30</v>
      </c>
      <c r="G8" s="61"/>
      <c r="H8" s="61"/>
      <c r="I8" s="148"/>
      <c r="J8" s="61"/>
    </row>
    <row r="9" spans="1:10" ht="43.5">
      <c r="A9" s="148"/>
      <c r="B9" s="148"/>
      <c r="C9" s="66" t="s">
        <v>331</v>
      </c>
      <c r="D9" s="9" t="s">
        <v>39</v>
      </c>
      <c r="E9" s="61">
        <v>6</v>
      </c>
      <c r="F9" s="61" t="s">
        <v>37</v>
      </c>
      <c r="G9" s="61"/>
      <c r="H9" s="61"/>
      <c r="I9" s="148"/>
      <c r="J9" s="61"/>
    </row>
    <row r="10" spans="1:10" ht="72.599999999999994">
      <c r="A10" s="148"/>
      <c r="B10" s="148"/>
      <c r="C10" s="66" t="s">
        <v>332</v>
      </c>
      <c r="D10" s="9" t="s">
        <v>34</v>
      </c>
      <c r="E10" s="61">
        <v>10</v>
      </c>
      <c r="F10" s="61" t="s">
        <v>30</v>
      </c>
      <c r="G10" s="61"/>
      <c r="H10" s="61"/>
      <c r="I10" s="148"/>
      <c r="J10" s="61"/>
    </row>
    <row r="11" spans="1:10" ht="43.5">
      <c r="A11" s="148"/>
      <c r="B11" s="148"/>
      <c r="C11" s="66" t="s">
        <v>333</v>
      </c>
      <c r="D11" s="9" t="s">
        <v>39</v>
      </c>
      <c r="E11" s="61">
        <v>7</v>
      </c>
      <c r="F11" s="61" t="s">
        <v>37</v>
      </c>
      <c r="G11" s="61"/>
      <c r="H11" s="61"/>
      <c r="I11" s="148"/>
      <c r="J11" s="61"/>
    </row>
    <row r="12" spans="1:10" ht="29.1">
      <c r="A12" s="148"/>
      <c r="B12" s="148"/>
      <c r="C12" s="66" t="s">
        <v>334</v>
      </c>
      <c r="D12" s="9" t="s">
        <v>34</v>
      </c>
      <c r="E12" s="61">
        <v>3</v>
      </c>
      <c r="F12" s="61" t="s">
        <v>30</v>
      </c>
      <c r="G12" s="61"/>
      <c r="H12" s="61"/>
      <c r="I12" s="148"/>
      <c r="J12" s="61"/>
    </row>
    <row r="13" spans="1:10" ht="29.1">
      <c r="A13" s="148"/>
      <c r="B13" s="148"/>
      <c r="C13" s="66" t="s">
        <v>329</v>
      </c>
      <c r="D13" s="9" t="s">
        <v>39</v>
      </c>
      <c r="E13" s="61">
        <v>2</v>
      </c>
      <c r="F13" s="61" t="s">
        <v>37</v>
      </c>
      <c r="G13" s="61"/>
      <c r="H13" s="61"/>
      <c r="I13" s="148"/>
      <c r="J13" s="61"/>
    </row>
    <row r="14" spans="1:10">
      <c r="A14" s="148"/>
      <c r="B14" s="148"/>
      <c r="C14" s="66" t="s">
        <v>335</v>
      </c>
      <c r="D14" s="9" t="s">
        <v>34</v>
      </c>
      <c r="E14" s="61">
        <v>1</v>
      </c>
      <c r="F14" s="61" t="s">
        <v>30</v>
      </c>
      <c r="G14" s="61"/>
      <c r="H14" s="61"/>
      <c r="I14" s="148"/>
      <c r="J14" s="61"/>
    </row>
    <row r="15" spans="1:10" ht="43.5">
      <c r="A15" s="148"/>
      <c r="B15" s="148"/>
      <c r="C15" s="66" t="s">
        <v>336</v>
      </c>
      <c r="D15" s="9" t="s">
        <v>39</v>
      </c>
      <c r="E15" s="61">
        <v>8</v>
      </c>
      <c r="F15" s="61" t="s">
        <v>37</v>
      </c>
      <c r="G15" s="61"/>
      <c r="H15" s="61"/>
      <c r="I15" s="148"/>
      <c r="J15" s="61"/>
    </row>
    <row r="16" spans="1:10" ht="29.1">
      <c r="A16" s="148">
        <v>3</v>
      </c>
      <c r="B16" s="148" t="s">
        <v>100</v>
      </c>
      <c r="C16" s="66" t="s">
        <v>337</v>
      </c>
      <c r="D16" s="9" t="s">
        <v>34</v>
      </c>
      <c r="E16" s="61">
        <v>2</v>
      </c>
      <c r="F16" s="61" t="s">
        <v>30</v>
      </c>
      <c r="G16" s="61"/>
      <c r="H16" s="61"/>
      <c r="I16" s="148">
        <f>SUM(E16:E20)</f>
        <v>19</v>
      </c>
      <c r="J16" s="61"/>
    </row>
    <row r="17" spans="1:10" ht="43.5">
      <c r="A17" s="148"/>
      <c r="B17" s="148"/>
      <c r="C17" s="66" t="s">
        <v>338</v>
      </c>
      <c r="D17" s="9" t="s">
        <v>34</v>
      </c>
      <c r="E17" s="61">
        <v>8</v>
      </c>
      <c r="F17" s="61" t="s">
        <v>30</v>
      </c>
      <c r="G17" s="61"/>
      <c r="H17" s="61"/>
      <c r="I17" s="148"/>
      <c r="J17" s="61"/>
    </row>
    <row r="18" spans="1:10" ht="43.5">
      <c r="A18" s="148"/>
      <c r="B18" s="148"/>
      <c r="C18" s="66" t="s">
        <v>339</v>
      </c>
      <c r="D18" s="9" t="s">
        <v>39</v>
      </c>
      <c r="E18" s="61">
        <v>4</v>
      </c>
      <c r="F18" s="61" t="s">
        <v>37</v>
      </c>
      <c r="G18" s="61"/>
      <c r="H18" s="61"/>
      <c r="I18" s="148"/>
      <c r="J18" s="61"/>
    </row>
    <row r="19" spans="1:10">
      <c r="A19" s="148"/>
      <c r="B19" s="148"/>
      <c r="C19" s="66" t="s">
        <v>340</v>
      </c>
      <c r="D19" s="9" t="s">
        <v>34</v>
      </c>
      <c r="E19" s="61">
        <v>3</v>
      </c>
      <c r="F19" s="61" t="s">
        <v>30</v>
      </c>
      <c r="G19" s="61"/>
      <c r="H19" s="61"/>
      <c r="I19" s="148"/>
      <c r="J19" s="61"/>
    </row>
    <row r="20" spans="1:10" ht="29.1">
      <c r="A20" s="148"/>
      <c r="B20" s="148"/>
      <c r="C20" s="66" t="s">
        <v>341</v>
      </c>
      <c r="D20" s="9" t="s">
        <v>39</v>
      </c>
      <c r="E20" s="61">
        <v>2</v>
      </c>
      <c r="F20" s="61" t="s">
        <v>37</v>
      </c>
      <c r="G20" s="61"/>
      <c r="H20" s="61"/>
      <c r="I20" s="148"/>
      <c r="J20" s="61"/>
    </row>
    <row r="21" spans="1:10">
      <c r="A21" s="60">
        <v>4</v>
      </c>
      <c r="B21" s="60" t="s">
        <v>342</v>
      </c>
      <c r="C21" s="66" t="s">
        <v>343</v>
      </c>
      <c r="D21" s="9" t="s">
        <v>86</v>
      </c>
      <c r="E21" s="61">
        <v>4</v>
      </c>
      <c r="F21" s="61" t="s">
        <v>30</v>
      </c>
      <c r="G21" s="61"/>
      <c r="H21" s="61"/>
      <c r="I21" s="148">
        <f>SUM(E21:E24)</f>
        <v>12.7</v>
      </c>
      <c r="J21" s="61"/>
    </row>
    <row r="22" spans="1:10">
      <c r="A22" s="60"/>
      <c r="B22" s="60"/>
      <c r="C22" s="66" t="s">
        <v>344</v>
      </c>
      <c r="D22" s="9" t="s">
        <v>86</v>
      </c>
      <c r="E22" s="61">
        <v>0.25</v>
      </c>
      <c r="F22" s="61" t="s">
        <v>37</v>
      </c>
      <c r="G22" s="61"/>
      <c r="H22" s="61"/>
      <c r="I22" s="148"/>
      <c r="J22" s="61"/>
    </row>
    <row r="23" spans="1:10">
      <c r="A23" s="60"/>
      <c r="B23" s="60"/>
      <c r="C23" s="66" t="s">
        <v>345</v>
      </c>
      <c r="D23" s="9" t="s">
        <v>86</v>
      </c>
      <c r="E23" s="61">
        <v>8.25</v>
      </c>
      <c r="F23" s="61" t="s">
        <v>30</v>
      </c>
      <c r="G23" s="61"/>
      <c r="H23" s="61"/>
      <c r="I23" s="148"/>
      <c r="J23" s="61"/>
    </row>
    <row r="24" spans="1:10">
      <c r="A24" s="60"/>
      <c r="B24" s="60"/>
      <c r="C24" s="66" t="s">
        <v>346</v>
      </c>
      <c r="D24" s="9" t="s">
        <v>86</v>
      </c>
      <c r="E24" s="61">
        <v>0.2</v>
      </c>
      <c r="F24" s="61" t="s">
        <v>37</v>
      </c>
      <c r="G24" s="61"/>
      <c r="H24" s="61"/>
      <c r="I24" s="148"/>
      <c r="J24" s="61"/>
    </row>
    <row r="25" spans="1:10" ht="43.5">
      <c r="A25" s="60">
        <v>5</v>
      </c>
      <c r="B25" s="62" t="s">
        <v>347</v>
      </c>
      <c r="C25" s="107" t="s">
        <v>348</v>
      </c>
      <c r="D25" s="9" t="s">
        <v>61</v>
      </c>
      <c r="E25" s="61">
        <v>40</v>
      </c>
      <c r="F25" s="61" t="s">
        <v>37</v>
      </c>
      <c r="G25" s="61"/>
      <c r="H25" s="61"/>
      <c r="I25" s="60">
        <f>E25</f>
        <v>40</v>
      </c>
      <c r="J25" s="61"/>
    </row>
  </sheetData>
  <mergeCells count="10">
    <mergeCell ref="A16:A20"/>
    <mergeCell ref="B16:B20"/>
    <mergeCell ref="I16:I20"/>
    <mergeCell ref="I21:I24"/>
    <mergeCell ref="A2:A4"/>
    <mergeCell ref="B2:B4"/>
    <mergeCell ref="I2:I4"/>
    <mergeCell ref="A5:A15"/>
    <mergeCell ref="B5:B15"/>
    <mergeCell ref="I5:I15"/>
  </mergeCells>
  <dataValidations count="1">
    <dataValidation type="list" allowBlank="1" showInputMessage="1" showErrorMessage="1" sqref="D2:D25" xr:uid="{B5470FD1-2FD4-4D75-A4C6-9A5A134DF55E}">
      <formula1>"ILT/VILT,Elearning,ILT &amp; ELearning,Certification,NA,Blended Learning, Video Based, Hands-on"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0DA1-F28F-4FA8-9176-B54231DC0364}">
  <dimension ref="A1:C10"/>
  <sheetViews>
    <sheetView workbookViewId="0">
      <selection activeCell="A2" sqref="A2"/>
    </sheetView>
  </sheetViews>
  <sheetFormatPr defaultColWidth="25.85546875" defaultRowHeight="39.75" customHeight="1"/>
  <cols>
    <col min="1" max="1" width="39.42578125" customWidth="1"/>
    <col min="2" max="2" width="76" customWidth="1"/>
  </cols>
  <sheetData>
    <row r="1" spans="1:3" ht="21" customHeight="1">
      <c r="A1" s="149" t="s">
        <v>115</v>
      </c>
      <c r="B1" s="150"/>
    </row>
    <row r="2" spans="1:3" ht="26.25" customHeight="1">
      <c r="A2" s="78" t="s">
        <v>349</v>
      </c>
      <c r="B2" s="78" t="s">
        <v>350</v>
      </c>
      <c r="C2" s="79" t="s">
        <v>351</v>
      </c>
    </row>
    <row r="3" spans="1:3" ht="39.75" customHeight="1">
      <c r="A3" s="151" t="s">
        <v>352</v>
      </c>
      <c r="B3" s="80" t="s">
        <v>353</v>
      </c>
      <c r="C3" s="154" t="s">
        <v>354</v>
      </c>
    </row>
    <row r="4" spans="1:3" ht="39.75" customHeight="1">
      <c r="A4" s="152"/>
      <c r="B4" s="81" t="s">
        <v>355</v>
      </c>
      <c r="C4" s="155"/>
    </row>
    <row r="5" spans="1:3" ht="39.75" customHeight="1">
      <c r="A5" s="153"/>
      <c r="B5" s="82" t="s">
        <v>356</v>
      </c>
      <c r="C5" s="155"/>
    </row>
    <row r="6" spans="1:3" ht="39.75" customHeight="1">
      <c r="A6" s="80" t="s">
        <v>357</v>
      </c>
      <c r="B6" s="151" t="s">
        <v>358</v>
      </c>
      <c r="C6" s="154" t="s">
        <v>354</v>
      </c>
    </row>
    <row r="7" spans="1:3" ht="39.75" customHeight="1">
      <c r="A7" s="82" t="s">
        <v>359</v>
      </c>
      <c r="B7" s="153"/>
      <c r="C7" s="155"/>
    </row>
    <row r="8" spans="1:3" ht="39.75" customHeight="1">
      <c r="A8" s="83" t="s">
        <v>360</v>
      </c>
      <c r="B8" s="84" t="s">
        <v>355</v>
      </c>
      <c r="C8" s="85" t="s">
        <v>354</v>
      </c>
    </row>
    <row r="9" spans="1:3" ht="57.75" customHeight="1">
      <c r="A9" s="86" t="s">
        <v>361</v>
      </c>
      <c r="B9" s="86" t="s">
        <v>362</v>
      </c>
      <c r="C9" s="85" t="s">
        <v>363</v>
      </c>
    </row>
    <row r="10" spans="1:3" ht="84" customHeight="1">
      <c r="A10" s="85" t="s">
        <v>364</v>
      </c>
      <c r="B10" s="85" t="s">
        <v>365</v>
      </c>
      <c r="C10" s="85" t="s">
        <v>363</v>
      </c>
    </row>
  </sheetData>
  <mergeCells count="5">
    <mergeCell ref="A1:B1"/>
    <mergeCell ref="A3:A5"/>
    <mergeCell ref="B6:B7"/>
    <mergeCell ref="C3:C5"/>
    <mergeCell ref="C6: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92B9-7A67-4F4E-8D88-1DFF0EB3E1B9}">
  <sheetPr>
    <tabColor theme="5"/>
  </sheetPr>
  <dimension ref="A1:C11"/>
  <sheetViews>
    <sheetView showGridLines="0" workbookViewId="0">
      <pane ySplit="1" topLeftCell="A10" activePane="bottomLeft" state="frozen"/>
      <selection pane="bottomLeft" activeCell="B15" sqref="B15"/>
    </sheetView>
  </sheetViews>
  <sheetFormatPr defaultColWidth="9.140625" defaultRowHeight="14.45"/>
  <cols>
    <col min="1" max="1" width="31.7109375" style="24" customWidth="1"/>
    <col min="2" max="2" width="34.85546875" style="24" customWidth="1"/>
    <col min="3" max="3" width="31" style="24" customWidth="1"/>
    <col min="4" max="4" width="15.85546875" style="24" customWidth="1"/>
    <col min="5" max="5" width="42.7109375" style="24" customWidth="1"/>
    <col min="6" max="16384" width="9.140625" style="24"/>
  </cols>
  <sheetData>
    <row r="1" spans="1:3" ht="15.95" customHeight="1" thickBot="1">
      <c r="A1" s="156" t="s">
        <v>366</v>
      </c>
      <c r="B1" s="157"/>
    </row>
    <row r="2" spans="1:3" ht="15.95" thickBot="1">
      <c r="A2" s="100" t="s">
        <v>130</v>
      </c>
      <c r="B2" s="101" t="s">
        <v>367</v>
      </c>
    </row>
    <row r="3" spans="1:3" ht="29.45" thickBot="1">
      <c r="A3" s="102" t="s">
        <v>366</v>
      </c>
      <c r="B3" s="103" t="s">
        <v>368</v>
      </c>
    </row>
    <row r="5" spans="1:3" ht="15.95" thickBot="1">
      <c r="A5" s="158" t="s">
        <v>369</v>
      </c>
      <c r="B5" s="158"/>
      <c r="C5" s="104"/>
    </row>
    <row r="6" spans="1:3" ht="15.95" thickBot="1">
      <c r="A6" s="100" t="s">
        <v>130</v>
      </c>
      <c r="B6" s="105" t="s">
        <v>367</v>
      </c>
    </row>
    <row r="7" spans="1:3">
      <c r="A7" s="106" t="s">
        <v>370</v>
      </c>
      <c r="B7" s="106" t="s">
        <v>371</v>
      </c>
    </row>
    <row r="8" spans="1:3">
      <c r="A8" s="106" t="s">
        <v>372</v>
      </c>
      <c r="B8" s="106" t="s">
        <v>373</v>
      </c>
    </row>
    <row r="9" spans="1:3" ht="87">
      <c r="A9" s="61" t="s">
        <v>374</v>
      </c>
      <c r="B9" s="106" t="s">
        <v>375</v>
      </c>
    </row>
    <row r="10" spans="1:3" ht="57.95">
      <c r="A10" s="106" t="s">
        <v>376</v>
      </c>
      <c r="B10" s="106" t="s">
        <v>377</v>
      </c>
    </row>
    <row r="11" spans="1:3" ht="72.599999999999994">
      <c r="A11" s="106" t="s">
        <v>378</v>
      </c>
      <c r="B11" s="106" t="s">
        <v>379</v>
      </c>
    </row>
  </sheetData>
  <mergeCells count="2">
    <mergeCell ref="A1:B1"/>
    <mergeCell ref="A5:B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F0D3-EF87-413A-8F43-6A24D9A37791}">
  <dimension ref="A1:J14"/>
  <sheetViews>
    <sheetView workbookViewId="0">
      <selection activeCell="C4" sqref="C4"/>
    </sheetView>
  </sheetViews>
  <sheetFormatPr defaultRowHeight="14.45"/>
  <cols>
    <col min="1" max="1" width="5.7109375" bestFit="1" customWidth="1"/>
    <col min="2" max="2" width="38.85546875" bestFit="1" customWidth="1"/>
    <col min="3" max="3" width="83.42578125" customWidth="1"/>
    <col min="4" max="4" width="8.42578125" bestFit="1" customWidth="1"/>
    <col min="5" max="5" width="8.140625" bestFit="1" customWidth="1"/>
    <col min="6" max="6" width="9.42578125" bestFit="1" customWidth="1"/>
    <col min="7" max="7" width="8.28515625" bestFit="1" customWidth="1"/>
    <col min="8" max="8" width="8.5703125" bestFit="1" customWidth="1"/>
    <col min="9" max="10" width="8.140625" bestFit="1" customWidth="1"/>
  </cols>
  <sheetData>
    <row r="1" spans="1:10" ht="65.099999999999994">
      <c r="A1" s="6" t="s">
        <v>11</v>
      </c>
      <c r="B1" s="6" t="s">
        <v>19</v>
      </c>
      <c r="C1" s="6" t="s">
        <v>20</v>
      </c>
      <c r="D1" s="23" t="s">
        <v>21</v>
      </c>
      <c r="E1" s="21" t="s">
        <v>22</v>
      </c>
      <c r="F1" s="6" t="s">
        <v>23</v>
      </c>
      <c r="G1" s="59" t="s">
        <v>323</v>
      </c>
      <c r="H1" s="6" t="s">
        <v>24</v>
      </c>
      <c r="I1" s="21" t="s">
        <v>26</v>
      </c>
      <c r="J1" s="21" t="s">
        <v>27</v>
      </c>
    </row>
    <row r="2" spans="1:10" ht="24.95">
      <c r="A2" s="64">
        <v>1</v>
      </c>
      <c r="B2" s="159" t="s">
        <v>380</v>
      </c>
      <c r="C2" s="61" t="s">
        <v>381</v>
      </c>
      <c r="D2" s="9" t="s">
        <v>34</v>
      </c>
      <c r="E2" s="61">
        <v>1</v>
      </c>
      <c r="F2" s="61" t="s">
        <v>30</v>
      </c>
      <c r="G2" s="61"/>
      <c r="H2" s="61"/>
      <c r="I2" s="148">
        <f>SUM(E2:E4)</f>
        <v>3</v>
      </c>
      <c r="J2" s="61"/>
    </row>
    <row r="3" spans="1:10" ht="24.95">
      <c r="A3" s="64"/>
      <c r="B3" s="160"/>
      <c r="C3" s="61" t="s">
        <v>382</v>
      </c>
      <c r="D3" s="9" t="s">
        <v>34</v>
      </c>
      <c r="E3" s="61">
        <v>1</v>
      </c>
      <c r="F3" s="61" t="s">
        <v>30</v>
      </c>
      <c r="G3" s="61"/>
      <c r="H3" s="61"/>
      <c r="I3" s="148"/>
      <c r="J3" s="61"/>
    </row>
    <row r="4" spans="1:10" ht="24.95">
      <c r="A4" s="64"/>
      <c r="B4" s="160"/>
      <c r="C4" s="61" t="s">
        <v>383</v>
      </c>
      <c r="D4" s="9" t="s">
        <v>34</v>
      </c>
      <c r="E4" s="61">
        <v>1</v>
      </c>
      <c r="F4" s="61" t="s">
        <v>30</v>
      </c>
      <c r="G4" s="61"/>
      <c r="H4" s="61"/>
      <c r="I4" s="148"/>
      <c r="J4" s="61"/>
    </row>
    <row r="5" spans="1:10" ht="24.95">
      <c r="A5" s="60"/>
      <c r="B5" s="161"/>
      <c r="C5" s="61" t="s">
        <v>384</v>
      </c>
      <c r="D5" s="9" t="s">
        <v>34</v>
      </c>
      <c r="E5" s="61">
        <v>2</v>
      </c>
      <c r="F5" s="61" t="s">
        <v>30</v>
      </c>
      <c r="G5" s="61"/>
      <c r="H5" s="61"/>
      <c r="I5" s="60"/>
      <c r="J5" s="61"/>
    </row>
    <row r="6" spans="1:10" ht="24.95">
      <c r="A6" s="148">
        <v>2</v>
      </c>
      <c r="B6" s="148" t="s">
        <v>385</v>
      </c>
      <c r="C6" s="65" t="s">
        <v>386</v>
      </c>
      <c r="D6" s="9" t="s">
        <v>34</v>
      </c>
      <c r="E6" s="61">
        <v>2</v>
      </c>
      <c r="F6" s="61" t="s">
        <v>30</v>
      </c>
      <c r="G6" s="61"/>
      <c r="H6" s="61"/>
      <c r="I6" s="148">
        <f>SUM(E6:E13)</f>
        <v>16</v>
      </c>
      <c r="J6" s="61"/>
    </row>
    <row r="7" spans="1:10" ht="24.95">
      <c r="A7" s="148"/>
      <c r="B7" s="148"/>
      <c r="C7" s="61" t="s">
        <v>387</v>
      </c>
      <c r="D7" s="9" t="s">
        <v>34</v>
      </c>
      <c r="E7" s="61">
        <v>2</v>
      </c>
      <c r="F7" s="61" t="s">
        <v>30</v>
      </c>
      <c r="G7" s="61"/>
      <c r="H7" s="61"/>
      <c r="I7" s="148"/>
      <c r="J7" s="61"/>
    </row>
    <row r="8" spans="1:10">
      <c r="A8" s="148"/>
      <c r="B8" s="148"/>
      <c r="C8" s="61" t="s">
        <v>388</v>
      </c>
      <c r="D8" s="9" t="s">
        <v>39</v>
      </c>
      <c r="E8" s="61">
        <v>2</v>
      </c>
      <c r="F8" s="61" t="s">
        <v>37</v>
      </c>
      <c r="G8" s="61"/>
      <c r="H8" s="61"/>
      <c r="I8" s="148"/>
      <c r="J8" s="61"/>
    </row>
    <row r="9" spans="1:10" ht="24.95">
      <c r="A9" s="148"/>
      <c r="B9" s="148"/>
      <c r="C9" s="61" t="s">
        <v>389</v>
      </c>
      <c r="D9" s="9" t="s">
        <v>34</v>
      </c>
      <c r="E9" s="61">
        <v>2</v>
      </c>
      <c r="F9" s="61" t="s">
        <v>30</v>
      </c>
      <c r="G9" s="61"/>
      <c r="H9" s="61"/>
      <c r="I9" s="148"/>
      <c r="J9" s="61"/>
    </row>
    <row r="10" spans="1:10">
      <c r="A10" s="148"/>
      <c r="B10" s="148"/>
      <c r="C10" s="61" t="s">
        <v>390</v>
      </c>
      <c r="D10" s="9" t="s">
        <v>39</v>
      </c>
      <c r="E10" s="61">
        <v>2</v>
      </c>
      <c r="F10" s="61" t="s">
        <v>37</v>
      </c>
      <c r="G10" s="61"/>
      <c r="H10" s="61"/>
      <c r="I10" s="148"/>
      <c r="J10" s="61"/>
    </row>
    <row r="11" spans="1:10" ht="24.95">
      <c r="A11" s="148"/>
      <c r="B11" s="148"/>
      <c r="C11" s="61" t="s">
        <v>391</v>
      </c>
      <c r="D11" s="9" t="s">
        <v>34</v>
      </c>
      <c r="E11" s="61">
        <v>2</v>
      </c>
      <c r="F11" s="61" t="s">
        <v>30</v>
      </c>
      <c r="G11" s="61"/>
      <c r="H11" s="61"/>
      <c r="I11" s="148"/>
      <c r="J11" s="61"/>
    </row>
    <row r="12" spans="1:10">
      <c r="A12" s="148"/>
      <c r="B12" s="148"/>
      <c r="C12" s="61" t="s">
        <v>392</v>
      </c>
      <c r="D12" s="9" t="s">
        <v>39</v>
      </c>
      <c r="E12" s="61">
        <v>2</v>
      </c>
      <c r="F12" s="61" t="s">
        <v>37</v>
      </c>
      <c r="G12" s="61"/>
      <c r="H12" s="61"/>
      <c r="I12" s="148"/>
      <c r="J12" s="61"/>
    </row>
    <row r="13" spans="1:10">
      <c r="A13" s="148"/>
      <c r="B13" s="148"/>
      <c r="C13" s="61" t="s">
        <v>336</v>
      </c>
      <c r="D13" s="9" t="s">
        <v>39</v>
      </c>
      <c r="E13" s="61">
        <v>2</v>
      </c>
      <c r="F13" s="61" t="s">
        <v>37</v>
      </c>
      <c r="G13" s="61"/>
      <c r="H13" s="61"/>
      <c r="I13" s="148"/>
      <c r="J13" s="61"/>
    </row>
    <row r="14" spans="1:10" ht="24.95">
      <c r="A14" s="60">
        <v>3</v>
      </c>
      <c r="B14" s="62" t="s">
        <v>347</v>
      </c>
      <c r="C14" s="63" t="s">
        <v>59</v>
      </c>
      <c r="D14" s="9" t="s">
        <v>61</v>
      </c>
      <c r="E14" s="61">
        <v>80</v>
      </c>
      <c r="F14" s="61" t="s">
        <v>37</v>
      </c>
      <c r="G14" s="61"/>
      <c r="H14" s="61"/>
      <c r="I14" s="60">
        <f>E14</f>
        <v>80</v>
      </c>
      <c r="J14" s="61"/>
    </row>
  </sheetData>
  <mergeCells count="5">
    <mergeCell ref="B2:B5"/>
    <mergeCell ref="I2:I4"/>
    <mergeCell ref="A6:A13"/>
    <mergeCell ref="B6:B13"/>
    <mergeCell ref="I6:I13"/>
  </mergeCells>
  <dataValidations count="1">
    <dataValidation type="list" allowBlank="1" showInputMessage="1" showErrorMessage="1" sqref="D2:D14" xr:uid="{E266B731-E01A-45F0-B676-5FEA0043806F}">
      <formula1>"ILT/VILT,Elearning,ILT &amp; ELearning,Certification,NA,Blended Learning, Video Based, Hands-on"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42DB-32E1-44EE-9733-FF11D4588C8B}">
  <dimension ref="A1:D20"/>
  <sheetViews>
    <sheetView workbookViewId="0"/>
  </sheetViews>
  <sheetFormatPr defaultColWidth="8.7109375" defaultRowHeight="12.6"/>
  <cols>
    <col min="1" max="1" width="38.85546875" style="47" customWidth="1"/>
    <col min="2" max="2" width="8.7109375" style="47"/>
    <col min="3" max="3" width="12.85546875" style="47" bestFit="1" customWidth="1"/>
    <col min="4" max="4" width="18.5703125" style="47" customWidth="1"/>
    <col min="5" max="16384" width="8.7109375" style="47"/>
  </cols>
  <sheetData>
    <row r="1" spans="1:4" ht="12.95">
      <c r="A1" s="52" t="s">
        <v>393</v>
      </c>
      <c r="C1" s="50" t="s">
        <v>394</v>
      </c>
      <c r="D1" s="51" t="s">
        <v>395</v>
      </c>
    </row>
    <row r="2" spans="1:4">
      <c r="A2" s="49" t="s">
        <v>396</v>
      </c>
    </row>
    <row r="3" spans="1:4">
      <c r="A3" s="48" t="s">
        <v>397</v>
      </c>
    </row>
    <row r="4" spans="1:4">
      <c r="A4" s="48" t="s">
        <v>398</v>
      </c>
    </row>
    <row r="5" spans="1:4">
      <c r="A5" s="15" t="s">
        <v>399</v>
      </c>
    </row>
    <row r="6" spans="1:4">
      <c r="A6" s="48" t="s">
        <v>400</v>
      </c>
    </row>
    <row r="7" spans="1:4">
      <c r="A7" s="48" t="s">
        <v>401</v>
      </c>
    </row>
    <row r="8" spans="1:4">
      <c r="A8" s="48" t="s">
        <v>402</v>
      </c>
    </row>
    <row r="9" spans="1:4">
      <c r="A9" s="48" t="s">
        <v>403</v>
      </c>
    </row>
    <row r="10" spans="1:4">
      <c r="A10" s="48" t="s">
        <v>404</v>
      </c>
    </row>
    <row r="11" spans="1:4">
      <c r="A11" s="48" t="s">
        <v>405</v>
      </c>
    </row>
    <row r="12" spans="1:4">
      <c r="A12" s="48" t="s">
        <v>406</v>
      </c>
    </row>
    <row r="13" spans="1:4">
      <c r="A13" s="48" t="s">
        <v>407</v>
      </c>
    </row>
    <row r="14" spans="1:4">
      <c r="A14" s="48" t="s">
        <v>408</v>
      </c>
    </row>
    <row r="15" spans="1:4">
      <c r="A15" s="15" t="s">
        <v>409</v>
      </c>
    </row>
    <row r="16" spans="1:4">
      <c r="A16" s="48" t="s">
        <v>410</v>
      </c>
    </row>
    <row r="17" spans="1:1">
      <c r="A17" s="48" t="s">
        <v>411</v>
      </c>
    </row>
    <row r="18" spans="1:1">
      <c r="A18" s="48" t="s">
        <v>412</v>
      </c>
    </row>
    <row r="19" spans="1:1">
      <c r="A19" s="48" t="s">
        <v>413</v>
      </c>
    </row>
    <row r="20" spans="1:1">
      <c r="A20" s="48" t="s">
        <v>414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07F2-27B2-4DAB-97B2-7C225CB090B8}">
  <dimension ref="A1:C13"/>
  <sheetViews>
    <sheetView workbookViewId="0">
      <selection activeCell="D11" sqref="D11"/>
    </sheetView>
  </sheetViews>
  <sheetFormatPr defaultRowHeight="14.45"/>
  <cols>
    <col min="1" max="1" width="20.7109375" customWidth="1"/>
    <col min="2" max="2" width="24.85546875" customWidth="1"/>
    <col min="3" max="3" width="65" customWidth="1"/>
  </cols>
  <sheetData>
    <row r="1" spans="1:3">
      <c r="A1" s="54" t="s">
        <v>415</v>
      </c>
      <c r="B1" s="54" t="s">
        <v>416</v>
      </c>
      <c r="C1" s="54" t="s">
        <v>393</v>
      </c>
    </row>
    <row r="2" spans="1:3">
      <c r="A2" s="162" t="s">
        <v>417</v>
      </c>
      <c r="B2" s="162" t="s">
        <v>418</v>
      </c>
      <c r="C2" s="55" t="s">
        <v>397</v>
      </c>
    </row>
    <row r="3" spans="1:3">
      <c r="A3" s="162"/>
      <c r="B3" s="162"/>
      <c r="C3" s="56" t="s">
        <v>419</v>
      </c>
    </row>
    <row r="4" spans="1:3">
      <c r="A4" s="162"/>
      <c r="B4" s="162"/>
      <c r="C4" s="56" t="s">
        <v>420</v>
      </c>
    </row>
    <row r="5" spans="1:3">
      <c r="A5" s="162"/>
      <c r="B5" s="162"/>
      <c r="C5" s="56" t="s">
        <v>421</v>
      </c>
    </row>
    <row r="6" spans="1:3">
      <c r="A6" s="162"/>
      <c r="B6" s="162"/>
      <c r="C6" s="56" t="s">
        <v>422</v>
      </c>
    </row>
    <row r="7" spans="1:3">
      <c r="A7" s="162"/>
      <c r="B7" s="162"/>
      <c r="C7" s="55" t="s">
        <v>423</v>
      </c>
    </row>
    <row r="8" spans="1:3">
      <c r="A8" s="162"/>
      <c r="B8" s="162"/>
      <c r="C8" s="56" t="s">
        <v>424</v>
      </c>
    </row>
    <row r="9" spans="1:3">
      <c r="A9" s="162"/>
      <c r="B9" s="162"/>
      <c r="C9" s="56" t="s">
        <v>425</v>
      </c>
    </row>
    <row r="10" spans="1:3">
      <c r="A10" s="162"/>
      <c r="B10" s="162"/>
      <c r="C10" s="55" t="s">
        <v>398</v>
      </c>
    </row>
    <row r="11" spans="1:3">
      <c r="A11" s="162"/>
      <c r="B11" s="162"/>
      <c r="C11" s="55" t="s">
        <v>399</v>
      </c>
    </row>
    <row r="12" spans="1:3">
      <c r="A12" s="162"/>
      <c r="B12" s="162"/>
      <c r="C12" s="7"/>
    </row>
    <row r="13" spans="1:3">
      <c r="A13" s="162"/>
      <c r="B13" s="162"/>
      <c r="C13" s="53"/>
    </row>
  </sheetData>
  <mergeCells count="2">
    <mergeCell ref="A2:A13"/>
    <mergeCell ref="B2:B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7CB905-625E-4513-81F5-5CA592982D73}"/>
</file>

<file path=customXml/itemProps2.xml><?xml version="1.0" encoding="utf-8"?>
<ds:datastoreItem xmlns:ds="http://schemas.openxmlformats.org/officeDocument/2006/customXml" ds:itemID="{0D05BFAF-EFA5-4688-B1C3-B79A50F470F8}"/>
</file>

<file path=customXml/itemProps3.xml><?xml version="1.0" encoding="utf-8"?>
<ds:datastoreItem xmlns:ds="http://schemas.openxmlformats.org/officeDocument/2006/customXml" ds:itemID="{4115A5C9-BEEC-47B5-BD59-27CF3497BD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Dmello, Wilma (Cognizant)</dc:creator>
  <cp:keywords/>
  <dc:description/>
  <cp:lastModifiedBy/>
  <cp:revision/>
  <dcterms:created xsi:type="dcterms:W3CDTF">2022-12-19T12:55:15Z</dcterms:created>
  <dcterms:modified xsi:type="dcterms:W3CDTF">2026-04-18T16:37:27Z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